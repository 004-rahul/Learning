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" sheetId="1" r:id="rId1"/>
    <sheet name="DAILY" sheetId="2" r:id="rId2"/>
    <sheet name="WEEKS" sheetId="3" r:id="rId3"/>
    <sheet name="WEAK" sheetId="4" r:id="rId4"/>
    <sheet name="DSA" sheetId="5" r:id="rId5"/>
    <sheet name="REVIEW" sheetId="6" r:id="rId6"/>
    <sheet name="DESIGNS" sheetId="7" r:id="rId7"/>
    <sheet name="STORIES" sheetId="8" r:id="rId8"/>
    <sheet name="JOURNAL" sheetId="9" r:id="rId9"/>
    <sheet name="APPLY" sheetId="10" r:id="rId10"/>
    <sheet name="INTERVIEWS" sheetId="11" r:id="rId11"/>
    <sheet name="DASHBOARD" sheetId="12" r:id="rId12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ddd\ dd\-mmm\-yy"/>
  </numFmts>
  <fonts count="6">
    <font>
      <sz val="11"/>
      <name val="Calibri"/>
    </font>
    <font>
      <b/>
      <color rgb="FFFFFFFF"/>
      <sz val="11"/>
      <name val="Calibri"/>
    </font>
    <font>
      <b/>
      <color rgb="FF1F3864"/>
      <sz val="11"/>
      <name val="Calibri"/>
    </font>
    <font>
      <b/>
      <color rgb="FF1F3864"/>
      <sz val="16"/>
      <name val="Calibri"/>
    </font>
    <font>
      <i/>
      <color rgb="FF595959"/>
      <sz val="1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5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9"/>
  <sheetViews>
    <sheetView workbookViewId="0"/>
  </sheetViews>
  <sheetFormatPr defaultRowHeight="15"/>
  <cols>
    <col min="1" max="1" width="3" customWidth="1"/>
    <col min="2" max="2" width="26" customWidth="1"/>
    <col min="3" max="3" width="96" customWidth="1"/>
  </cols>
  <sheetData>
    <row r="1">
      <c r="A1" s="0"/>
      <c r="B1" s="7" t="inlineStr">
        <is>
          <t xml:space="preserve">Software Engineer Transformation - Tracker</t>
        </is>
      </c>
    </row>
    <row r="2">
      <c r="A2" s="0"/>
      <c r="B2" s="8" t="inlineStr">
        <is>
          <t xml:space="preserve">Open this every day. It is the only file you need to know what to do.</t>
        </is>
      </c>
    </row>
    <row r="3"/>
    <row r="4">
      <c r="A4" s="0"/>
      <c r="B4" s="4" t="inlineStr">
        <is>
          <t xml:space="preserve">START DATE (a Monday)</t>
        </is>
      </c>
      <c r="C4" s="9">
        <v>46258</v>
      </c>
    </row>
    <row r="5">
      <c r="A5" s="0"/>
      <c r="B5" s="0"/>
      <c r="C5" s="8" t="inlineStr">
        <is>
          <t xml:space="preserve">Change that one yellow cell and every date in the whole workbook moves with it. It must be a Monday.</t>
        </is>
      </c>
    </row>
    <row r="6"/>
    <row r="7">
      <c r="A7" s="0"/>
      <c r="B7" s="10" t="inlineStr">
        <is>
          <t xml:space="preserve">HOW TO USE THIS</t>
        </is>
      </c>
      <c r="C7" s="10"/>
    </row>
    <row r="8" ht="30" customHeight="1">
      <c r="A8" s="0"/>
      <c r="B8" s="4" t="inlineStr">
        <is>
          <t xml:space="preserve">1. Every morning</t>
        </is>
      </c>
      <c r="C8" s="2" t="inlineStr">
        <is>
          <t xml:space="preserve">Open the DAILY tab. Press Ctrl+F, type today's date, and work that one row. That is the whole system.</t>
        </is>
      </c>
    </row>
    <row r="9" ht="30" customHeight="1">
      <c r="A9" s="0"/>
      <c r="B9" s="4" t="inlineStr">
        <is>
          <t xml:space="preserve">2. Every evening</t>
        </is>
      </c>
      <c r="C9" s="2" t="inlineStr">
        <is>
          <t xml:space="preserve">Put an x in the Done column. Add anything you could not recall to the WEAK tab. Write one line in the JOURNAL tab.</t>
        </is>
      </c>
    </row>
    <row r="10" ht="30" customHeight="1">
      <c r="A10" s="0"/>
      <c r="B10" s="4" t="inlineStr">
        <is>
          <t xml:space="preserve">3. Every Friday</t>
        </is>
      </c>
      <c r="C10" s="2" t="inlineStr">
        <is>
          <t xml:space="preserve">No new material. Work only the WEAK tab - the items with the oldest dates first.</t>
        </is>
      </c>
    </row>
    <row r="11" ht="30" customHeight="1">
      <c r="A11" s="0"/>
      <c r="B11" s="4" t="inlineStr">
        <is>
          <t xml:space="preserve">4. Every Sunday</t>
        </is>
      </c>
      <c r="C11" s="2" t="inlineStr">
        <is>
          <t xml:space="preserve">Take the weekly test (6 tasks, listed below). Then read next week's row in the WEEKS tab.</t>
        </is>
      </c>
    </row>
    <row r="12" ht="30" customHeight="1">
      <c r="A12" s="0"/>
      <c r="B12" s="4" t="inlineStr">
        <is>
          <t xml:space="preserve">5. Every month end</t>
        </is>
      </c>
      <c r="C12" s="2" t="inlineStr">
        <is>
          <t xml:space="preserve">Fill one column of the DASHBOARD tab. Three numbers. Nothing else.</t>
        </is>
      </c>
    </row>
    <row r="13"/>
    <row r="14">
      <c r="A14" s="0"/>
      <c r="B14" s="10" t="inlineStr">
        <is>
          <t xml:space="preserve">THE DAILY 2 HOURS</t>
        </is>
      </c>
      <c r="C14" s="10"/>
    </row>
    <row r="15" ht="28" customHeight="1">
      <c r="A15" s="0"/>
      <c r="B15" s="4" t="inlineStr">
        <is>
          <t xml:space="preserve">0:00 - 0:10</t>
        </is>
      </c>
      <c r="C15" s="2" t="inlineStr">
        <is>
          <t xml:space="preserve">Explain yesterday out loud, notes closed. Badly is fine. NEVER skip this - it is the highest-leverage habit in the plan.</t>
        </is>
      </c>
    </row>
    <row r="16" ht="28" customHeight="1">
      <c r="A16" s="0"/>
      <c r="B16" s="4" t="inlineStr">
        <is>
          <t xml:space="preserve">0:10 - 1:15</t>
        </is>
      </c>
      <c r="C16" s="2" t="inlineStr">
        <is>
          <t xml:space="preserve">Today's topic, from the DAILY tab. Short notes only.</t>
        </is>
      </c>
    </row>
    <row r="17" ht="28" customHeight="1">
      <c r="A17" s="0"/>
      <c r="B17" s="4" t="inlineStr">
        <is>
          <t xml:space="preserve">1:15 - 1:55</t>
        </is>
      </c>
      <c r="C17" s="2" t="inlineStr">
        <is>
          <t xml:space="preserve">DSA. One or two problems. Log all six fields in the DSA tab.</t>
        </is>
      </c>
    </row>
    <row r="18" ht="28" customHeight="1">
      <c r="A18" s="0"/>
      <c r="B18" s="4" t="inlineStr">
        <is>
          <t xml:space="preserve">1:55 - 2:00</t>
        </is>
      </c>
      <c r="C18" s="2" t="inlineStr">
        <is>
          <t xml:space="preserve">Weak List, journal line, tomorrow's one-line plan.</t>
        </is>
      </c>
    </row>
    <row r="19">
      <c r="A19" s="0"/>
      <c r="B19" s="0" t="inlineStr">
        <is>
          <t xml:space="preserve">Tue and Thu</t>
        </is>
      </c>
      <c r="C19" s="2" t="inlineStr">
        <is>
          <t xml:space="preserve">Add 15 minutes of aptitude at the end. That is the only variation.</t>
        </is>
      </c>
    </row>
    <row r="20"/>
    <row r="21">
      <c r="A21" s="0"/>
      <c r="B21" s="10" t="inlineStr">
        <is>
          <t xml:space="preserve">THE SUNDAY TEST - 6 tasks, no notes</t>
        </is>
      </c>
      <c r="C21" s="10"/>
    </row>
    <row r="22">
      <c r="A22" s="0"/>
      <c r="B22" s="0"/>
      <c r="C22" s="2" t="inlineStr">
        <is>
          <t xml:space="preserve">Explain 5 concepts from this week aloud, recorded</t>
        </is>
      </c>
    </row>
    <row r="23">
      <c r="A23" s="0"/>
      <c r="B23" s="0"/>
      <c r="C23" s="2" t="inlineStr">
        <is>
          <t xml:space="preserve">Solve 2 DSA problems, 25 minutes each</t>
        </is>
      </c>
    </row>
    <row r="24">
      <c r="A24" s="0"/>
      <c r="B24" s="0"/>
      <c r="C24" s="2" t="inlineStr">
        <is>
          <t xml:space="preserve">Talk through 1 system design for 10-15 min (from week 12)</t>
        </is>
      </c>
    </row>
    <row r="25">
      <c r="A25" s="0"/>
      <c r="B25" s="0"/>
      <c r="C25" s="2" t="inlineStr">
        <is>
          <t xml:space="preserve">Implement 1 small C# example from memory, no IDE help</t>
        </is>
      </c>
    </row>
    <row r="26">
      <c r="A26" s="0"/>
      <c r="B26" s="0"/>
      <c r="C26" s="2" t="inlineStr">
        <is>
          <t xml:space="preserve">Speak 2 minutes in English on one technical topic</t>
        </is>
      </c>
    </row>
    <row r="27">
      <c r="A27" s="0"/>
      <c r="B27" s="0"/>
      <c r="C27" s="2" t="inlineStr">
        <is>
          <t xml:space="preserve">Write down 3 things you forgot - they go straight to the WEAK tab</t>
        </is>
      </c>
    </row>
    <row r="28"/>
    <row r="29">
      <c r="A29" s="0"/>
      <c r="B29" s="10" t="inlineStr">
        <is>
          <t xml:space="preserve">IF YOU FALL BEHIND</t>
        </is>
      </c>
      <c r="C29" s="10"/>
    </row>
    <row r="30">
      <c r="A30" s="0"/>
      <c r="B30" s="4" t="inlineStr">
        <is>
          <t xml:space="preserve">Missed 2-3 days</t>
        </is>
      </c>
      <c r="C30" s="2" t="inlineStr">
        <is>
          <t xml:space="preserve">Ignore it. Carry on from today. Do NOT try to catch up.</t>
        </is>
      </c>
    </row>
    <row r="31">
      <c r="A31" s="0"/>
      <c r="B31" s="4" t="inlineStr">
        <is>
          <t xml:space="preserve">Missed a week</t>
        </is>
      </c>
      <c r="C31" s="2" t="inlineStr">
        <is>
          <t xml:space="preserve">Skip to the current week. Put the missed topics in the WEAK tab.</t>
        </is>
      </c>
    </row>
    <row r="32">
      <c r="A32" s="0"/>
      <c r="B32" s="4" t="inlineStr">
        <is>
          <t xml:space="preserve">Missed two weeks</t>
        </is>
      </c>
      <c r="C32" s="2" t="inlineStr">
        <is>
          <t xml:space="preserve">Same, and move the START DATE cell forward two weeks.</t>
        </is>
      </c>
    </row>
    <row r="33">
      <c r="A33" s="0"/>
      <c r="B33" s="4" t="inlineStr">
        <is>
          <t xml:space="preserve">Missed a month</t>
        </is>
      </c>
      <c r="C33" s="2" t="inlineStr">
        <is>
          <t xml:space="preserve">Restart the current month only. Never restart the plan.</t>
        </is>
      </c>
    </row>
    <row r="34">
      <c r="A34" s="0"/>
      <c r="B34" s="4" t="inlineStr">
        <is>
          <t xml:space="preserve">Too tired today</t>
        </is>
      </c>
      <c r="C34" s="2" t="inlineStr">
        <is>
          <t xml:space="preserve">The 30-minute version: 10 min recall + 15 min one DSA problem + 5 min journal. Never zero.</t>
        </is>
      </c>
    </row>
    <row r="35"/>
    <row r="36">
      <c r="A36" s="0"/>
      <c r="B36" s="10" t="inlineStr">
        <is>
          <t xml:space="preserve">WHAT THE TABS ARE FOR</t>
        </is>
      </c>
      <c r="C36" s="10"/>
    </row>
    <row r="37">
      <c r="A37" s="0"/>
      <c r="B37" s="4" t="inlineStr">
        <is>
          <t xml:space="preserve">DAILY</t>
        </is>
      </c>
      <c r="C37" s="2" t="inlineStr">
        <is>
          <t xml:space="preserve">All 224 days. One row per day. This is the tab you live in.</t>
        </is>
      </c>
    </row>
    <row r="38">
      <c r="A38" s="0"/>
      <c r="B38" s="4" t="inlineStr">
        <is>
          <t xml:space="preserve">WEEKS</t>
        </is>
      </c>
      <c r="C38" s="2" t="inlineStr">
        <is>
          <t xml:space="preserve">The 32-week overview. Read one row every Sunday.</t>
        </is>
      </c>
    </row>
    <row r="39">
      <c r="A39" s="0"/>
      <c r="B39" s="4" t="inlineStr">
        <is>
          <t xml:space="preserve">WEAK</t>
        </is>
      </c>
      <c r="C39" s="2" t="inlineStr">
        <is>
          <t xml:space="preserve">Everything you got wrong. Drives every Friday. THE most important tab.</t>
        </is>
      </c>
    </row>
    <row r="40">
      <c r="A40" s="0"/>
      <c r="B40" s="4" t="inlineStr">
        <is>
          <t xml:space="preserve">DSA</t>
        </is>
      </c>
      <c r="C40" s="2" t="inlineStr">
        <is>
          <t xml:space="preserve">One row per problem, six fields. The log is where pattern recognition is built.</t>
        </is>
      </c>
    </row>
    <row r="41">
      <c r="A41" s="0"/>
      <c r="B41" s="4" t="inlineStr">
        <is>
          <t xml:space="preserve">REVIEW</t>
        </is>
      </c>
      <c r="C41" s="2" t="inlineStr">
        <is>
          <t xml:space="preserve">The 1/3/7/14/30-day ladder. Type the date you learned it; the rest calculates.</t>
        </is>
      </c>
    </row>
    <row r="42">
      <c r="A42" s="0"/>
      <c r="B42" s="4" t="inlineStr">
        <is>
          <t xml:space="preserve">DESIGNS</t>
        </is>
      </c>
      <c r="C42" s="2" t="inlineStr">
        <is>
          <t xml:space="preserve">All 18 system designs and 5 LLDs, with the week each is due.</t>
        </is>
      </c>
    </row>
    <row r="43">
      <c r="A43" s="0"/>
      <c r="B43" s="4" t="inlineStr">
        <is>
          <t xml:space="preserve">STORIES</t>
        </is>
      </c>
      <c r="C43" s="2" t="inlineStr">
        <is>
          <t xml:space="preserve">Your 20 STAR stories mapped to Amazon's 16 principles. No column may be empty.</t>
        </is>
      </c>
    </row>
    <row r="44">
      <c r="A44" s="0"/>
      <c r="B44" s="4" t="inlineStr">
        <is>
          <t xml:space="preserve">JOURNAL</t>
        </is>
      </c>
      <c r="C44" s="2" t="inlineStr">
        <is>
          <t xml:space="preserve">One line per working day. This becomes your 20 stories in month 5.</t>
        </is>
      </c>
    </row>
    <row r="45">
      <c r="A45" s="0"/>
      <c r="B45" s="4" t="inlineStr">
        <is>
          <t xml:space="preserve">APPLY</t>
        </is>
      </c>
      <c r="C45" s="2" t="inlineStr">
        <is>
          <t xml:space="preserve">Every application, with the sponsor-register and LinkedIn checks.</t>
        </is>
      </c>
    </row>
    <row r="46">
      <c r="A46" s="0"/>
      <c r="B46" s="4" t="inlineStr">
        <is>
          <t xml:space="preserve">INTERVIEWS</t>
        </is>
      </c>
      <c r="C46" s="2" t="inlineStr">
        <is>
          <t xml:space="preserve">Every interview, with a named ROOT CAUSE and a repair date.</t>
        </is>
      </c>
    </row>
    <row r="47">
      <c r="A47" s="0"/>
      <c r="B47" s="4" t="inlineStr">
        <is>
          <t xml:space="preserve">DASHBOARD</t>
        </is>
      </c>
      <c r="C47" s="2" t="inlineStr">
        <is>
          <t xml:space="preserve">Three numbers a month. The only progress measure that matters.</t>
        </is>
      </c>
    </row>
    <row r="48"/>
    <row r="49" ht="30" customHeight="1">
      <c r="A49" s="0"/>
      <c r="B49" s="4" t="inlineStr">
        <is>
          <t xml:space="preserve">The whole plan in one line</t>
        </is>
      </c>
      <c r="C49" s="2" t="inlineStr">
        <is>
          <t xml:space="preserve">Recall yesterday, learn one thing, solve one problem, write down what you got wrong. Repeat for eight months.</t>
        </is>
      </c>
    </row>
  </sheetData>
  <pageMargins left="0.5" right="0.5" top="0.5" bottom="0.5" header="0.3" footer="0.3"/>
</worksheet>
</file>

<file path=xl/worksheets/sheet2.xml><?xml version="1.0" encoding="utf-8"?>
<worksheet xmlns="http://schemas.openxmlformats.org/spreadsheetml/2006/main">
  <dimension ref="A1:H225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6" customWidth="1"/>
    <col min="3" max="3" width="5" customWidth="1"/>
    <col min="4" max="4" width="6" customWidth="1"/>
    <col min="5" max="5" width="62" customWidth="1"/>
    <col min="6" max="6" width="52" customWidth="1"/>
    <col min="7" max="7" width="44" customWidth="1"/>
    <col min="8" max="8" width="7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Day</t>
        </is>
      </c>
      <c r="C1" s="1" t="inlineStr">
        <is>
          <t xml:space="preserve">Wk</t>
        </is>
      </c>
      <c r="D1" s="1" t="inlineStr">
        <is>
          <t xml:space="preserve">Mth</t>
        </is>
      </c>
      <c r="E1" s="1" t="inlineStr">
        <is>
          <t xml:space="preserve">TODAY'S TOPIC</t>
        </is>
      </c>
      <c r="F1" s="1" t="inlineStr">
        <is>
          <t xml:space="preserve">ALSO DO</t>
        </is>
      </c>
      <c r="G1" s="1" t="inlineStr">
        <is>
          <t xml:space="preserve">MUST BE ABLE TO EXPLAIN</t>
        </is>
      </c>
      <c r="H1" s="1" t="inlineStr">
        <is>
          <t xml:space="preserve">Done</t>
        </is>
      </c>
    </row>
    <row r="2" ht="42" customHeight="1">
      <c r="A2" s="3">
        <f>START!$C$4</f>
        <v>46258</v>
      </c>
      <c r="B2" s="11" t="inlineStr">
        <is>
          <t xml:space="preserve">Mon</t>
        </is>
      </c>
      <c r="C2" s="11">
        <v>1</v>
      </c>
      <c r="D2" s="11" t="inlineStr">
        <is>
          <t xml:space="preserve">M1</t>
        </is>
      </c>
      <c r="E2" s="2" t="inlineStr">
        <is>
          <t xml:space="preserve">Value vs reference types. Stack vs heap. What a variable actually holds. Assignment and copy semantics</t>
        </is>
      </c>
      <c r="F2" s="2" t="inlineStr">
        <is>
          <t xml:space="preserve">DSA: Big-O, time vs space. Write a demo where copying a struct and copying a class differ</t>
        </is>
      </c>
      <c r="G2" s="2" t="inlineStr">
        <is>
          <t xml:space="preserve">Why passing a struct to a method may not change the original</t>
        </is>
      </c>
      <c r="H2" s="6"/>
    </row>
    <row r="3" ht="42" customHeight="1">
      <c r="A3" s="3">
        <f>A2+1</f>
        <v>46259</v>
      </c>
      <c r="B3" s="11" t="inlineStr">
        <is>
          <t xml:space="preserve">Tue</t>
        </is>
      </c>
      <c r="C3" s="11">
        <v>1</v>
      </c>
      <c r="D3" s="11" t="inlineStr">
        <is>
          <t xml:space="preserve">M1</t>
        </is>
      </c>
      <c r="E3" s="2" t="inlineStr">
        <is>
          <t xml:space="preserve">struct vs class. Boxing and unboxing. Nullable value types. Where structs actually live</t>
        </is>
      </c>
      <c r="F3" s="2" t="inlineStr">
        <is>
          <t xml:space="preserve">DSA: arrays. Use SharpLab to watch the IL box instruction appear. + 15 min aptitude</t>
        </is>
      </c>
      <c r="G3" s="2" t="inlineStr">
        <is>
          <t xml:space="preserve">What boxing costs and three places it happens accidentally</t>
        </is>
      </c>
      <c r="H3" s="6"/>
    </row>
    <row r="4" ht="42" customHeight="1">
      <c r="A4" s="3">
        <f>A3+1</f>
        <v>46260</v>
      </c>
      <c r="B4" s="11" t="inlineStr">
        <is>
          <t xml:space="preserve">Wed</t>
        </is>
      </c>
      <c r="C4" s="11">
        <v>1</v>
      </c>
      <c r="D4" s="11" t="inlineStr">
        <is>
          <t xml:space="preserve">M1</t>
        </is>
      </c>
      <c r="E4" s="2" t="inlineStr">
        <is>
          <t xml:space="preserve">Strings: immutability, interning, StringBuilder, why concat in a loop is O(n squared)</t>
        </is>
      </c>
      <c r="F4" s="2" t="inlineStr">
        <is>
          <t xml:space="preserve">DSA. Benchmark string concat vs StringBuilder over 100k iterations</t>
        </is>
      </c>
      <c r="G4" s="2" t="inlineStr">
        <is>
          <t xml:space="preserve">Why strings are immutable and what that buys you</t>
        </is>
      </c>
      <c r="H4" s="6"/>
    </row>
    <row r="5" ht="42" customHeight="1">
      <c r="A5" s="3">
        <f>A4+1</f>
        <v>46261</v>
      </c>
      <c r="B5" s="11" t="inlineStr">
        <is>
          <t xml:space="preserve">Thu</t>
        </is>
      </c>
      <c r="C5" s="11">
        <v>1</v>
      </c>
      <c r="D5" s="11" t="inlineStr">
        <is>
          <t xml:space="preserve">M1</t>
        </is>
      </c>
      <c r="E5" s="2" t="inlineStr">
        <is>
          <t xml:space="preserve">ref, out, in parameters. Pass by value vs by reference for both type categories. readonly, const, static</t>
        </is>
      </c>
      <c r="F5" s="2" t="inlineStr">
        <is>
          <t xml:space="preserve">DSA. Write the four-case matrix and predict each result before running. + 15 min aptitude</t>
        </is>
      </c>
      <c r="G5" s="2" t="inlineStr">
        <is>
          <t xml:space="preserve">The difference between a reference type and passing by reference</t>
        </is>
      </c>
      <c r="H5" s="6"/>
    </row>
    <row r="6" ht="42" customHeight="1">
      <c r="A6" s="3">
        <f>A5+1</f>
        <v>46262</v>
      </c>
      <c r="B6" s="11" t="inlineStr">
        <is>
          <t xml:space="preserve">Fri</t>
        </is>
      </c>
      <c r="C6" s="11">
        <v>1</v>
      </c>
      <c r="D6" s="11" t="inlineStr">
        <is>
          <t xml:space="preserve">M1</t>
        </is>
      </c>
      <c r="E6" s="2" t="inlineStr">
        <is>
          <t xml:space="preserve">No new material. Weak List only. Explain the whole week aloud, recorded</t>
        </is>
      </c>
      <c r="F6" s="2" t="inlineStr">
        <is>
          <t xml:space="preserve">Re-solve every DSA problem you needed help with</t>
        </is>
      </c>
      <c r="G6" s="2" t="inlineStr">
        <is>
          <t xml:space="preserve">Everything from this week, cold, no notes</t>
        </is>
      </c>
      <c r="H6" s="6"/>
    </row>
    <row r="7" ht="42" customHeight="1">
      <c r="A7" s="3">
        <f>A6+1</f>
        <v>46263</v>
      </c>
      <c r="B7" s="11" t="inlineStr">
        <is>
          <t xml:space="preserve">Sat</t>
        </is>
      </c>
      <c r="C7" s="11">
        <v>1</v>
      </c>
      <c r="D7" s="11" t="inlineStr">
        <is>
          <t xml:space="preserve">M1</t>
        </is>
      </c>
      <c r="E7" s="2" t="inlineStr">
        <is>
          <t xml:space="preserve">DEEP: object layout in memory, object header, method table pointer, why a reference costs 8 bytes on x64. GC generations intro</t>
        </is>
      </c>
      <c r="F7" s="2" t="inlineStr">
        <is>
          <t xml:space="preserve">Read Book of the Runtime intro. Draw the heap layout by hand</t>
        </is>
      </c>
      <c r="G7" s="2" t="inlineStr">
        <is>
          <t xml:space="preserve">What is physically in memory when you write new Person()</t>
        </is>
      </c>
      <c r="H7" s="6"/>
    </row>
    <row r="8" ht="42" customHeight="1">
      <c r="A8" s="3">
        <f>A7+1</f>
        <v>46264</v>
      </c>
      <c r="B8" s="11" t="inlineStr">
        <is>
          <t xml:space="preserve">Sun</t>
        </is>
      </c>
      <c r="C8" s="11">
        <v>1</v>
      </c>
      <c r="D8" s="11" t="inlineStr">
        <is>
          <t xml:space="preserve">M1</t>
        </is>
      </c>
      <c r="E8" s="2" t="inlineStr">
        <is>
          <t xml:space="preserve">WEEKLY TEST, no notes. Then plan week 2</t>
        </is>
      </c>
      <c r="F8" s="2" t="inlineStr">
        <is>
          <t xml:space="preserve">Record a 2-minute explanation of stack vs heap</t>
        </is>
      </c>
      <c r="G8" s="2" t="inlineStr">
        <is>
          <t xml:space="preserve">Write down 3 things you forgot - they go on the Weak List</t>
        </is>
      </c>
      <c r="H8" s="6"/>
    </row>
    <row r="9" ht="42" customHeight="1">
      <c r="A9" s="12">
        <f>A8+1</f>
        <v>46265</v>
      </c>
      <c r="B9" s="13" t="inlineStr">
        <is>
          <t xml:space="preserve">Mon</t>
        </is>
      </c>
      <c r="C9" s="13">
        <v>2</v>
      </c>
      <c r="D9" s="13" t="inlineStr">
        <is>
          <t xml:space="preserve">M1</t>
        </is>
      </c>
      <c r="E9" s="5" t="inlineStr">
        <is>
          <t xml:space="preserve">Classes, constructors, constructor chaining, object initialisers, access modifiers, static members and static constructor timing</t>
        </is>
      </c>
      <c r="F9" s="5" t="inlineStr">
        <is>
          <t xml:space="preserve">DSA: hash tables. Write a class with three chained constructors; predict init order first</t>
        </is>
      </c>
      <c r="G9" s="5" t="inlineStr">
        <is>
          <t xml:space="preserve">When a static constructor actually runs</t>
        </is>
      </c>
      <c r="H9" s="14"/>
    </row>
    <row r="10" ht="42" customHeight="1">
      <c r="A10" s="12">
        <f>A9+1</f>
        <v>46266</v>
      </c>
      <c r="B10" s="13" t="inlineStr">
        <is>
          <t xml:space="preserve">Tue</t>
        </is>
      </c>
      <c r="C10" s="13">
        <v>2</v>
      </c>
      <c r="D10" s="13" t="inlineStr">
        <is>
          <t xml:space="preserve">M1</t>
        </is>
      </c>
      <c r="E10" s="5" t="inlineStr">
        <is>
          <t xml:space="preserve">Inheritance. virtual, override, new (shadowing), abstract, sealed. Virtual dispatch and the method table</t>
        </is>
      </c>
      <c r="F10" s="5" t="inlineStr">
        <is>
          <t xml:space="preserve">DSA. Demo where new vs override differ through a base reference. + 15 min aptitude</t>
        </is>
      </c>
      <c r="G10" s="5" t="inlineStr">
        <is>
          <t xml:space="preserve">How the runtime picks which method to call, at method-table level</t>
        </is>
      </c>
      <c r="H10" s="14"/>
    </row>
    <row r="11" ht="42" customHeight="1">
      <c r="A11" s="12">
        <f>A10+1</f>
        <v>46267</v>
      </c>
      <c r="B11" s="13" t="inlineStr">
        <is>
          <t xml:space="preserve">Wed</t>
        </is>
      </c>
      <c r="C11" s="13">
        <v>2</v>
      </c>
      <c r="D11" s="13" t="inlineStr">
        <is>
          <t xml:space="preserve">M1</t>
        </is>
      </c>
      <c r="E11" s="5" t="inlineStr">
        <is>
          <t xml:space="preserve">Interfaces. Explicit implementation. Default interface methods. Interface vs abstract class - the real criteria</t>
        </is>
      </c>
      <c r="F11" s="5" t="inlineStr">
        <is>
          <t xml:space="preserve">DSA. Implement IComparable&lt;T&gt; and IEquatable&lt;T&gt; on your own type</t>
        </is>
      </c>
      <c r="G11" s="5" t="inlineStr">
        <is>
          <t xml:space="preserve">When to choose an interface over an abstract class, with a concrete reason</t>
        </is>
      </c>
      <c r="H11" s="14"/>
    </row>
    <row r="12" ht="42" customHeight="1">
      <c r="A12" s="12">
        <f>A11+1</f>
        <v>46268</v>
      </c>
      <c r="B12" s="13" t="inlineStr">
        <is>
          <t xml:space="preserve">Thu</t>
        </is>
      </c>
      <c r="C12" s="13">
        <v>2</v>
      </c>
      <c r="D12" s="13" t="inlineStr">
        <is>
          <t xml:space="preserve">M1</t>
        </is>
      </c>
      <c r="E12" s="5" t="inlineStr">
        <is>
          <t xml:space="preserve">Composition over inheritance. Encapsulation. Equals, GetHashCode, ToString. The Equals/GetHashCode contract</t>
        </is>
      </c>
      <c r="F12" s="5" t="inlineStr">
        <is>
          <t xml:space="preserve">DSA. Override both, then break the contract and watch a Dictionary lose your key. + aptitude</t>
        </is>
      </c>
      <c r="G12" s="5" t="inlineStr">
        <is>
          <t xml:space="preserve">Why breaking that contract corrupts hash-based collections</t>
        </is>
      </c>
      <c r="H12" s="14"/>
    </row>
    <row r="13" ht="42" customHeight="1">
      <c r="A13" s="12">
        <f>A12+1</f>
        <v>46269</v>
      </c>
      <c r="B13" s="13" t="inlineStr">
        <is>
          <t xml:space="preserve">Fri</t>
        </is>
      </c>
      <c r="C13" s="13">
        <v>2</v>
      </c>
      <c r="D13" s="13" t="inlineStr">
        <is>
          <t xml:space="preserve">M1</t>
        </is>
      </c>
      <c r="E13" s="5" t="inlineStr">
        <is>
          <t xml:space="preserve">No new material. Weak List only. Explain the whole week aloud, recorded</t>
        </is>
      </c>
      <c r="F13" s="5" t="inlineStr">
        <is>
          <t xml:space="preserve">Re-solve every DSA problem you needed help with</t>
        </is>
      </c>
      <c r="G13" s="5" t="inlineStr">
        <is>
          <t xml:space="preserve">Everything from this week, cold, no notes</t>
        </is>
      </c>
      <c r="H13" s="14"/>
    </row>
    <row r="14" ht="42" customHeight="1">
      <c r="A14" s="12">
        <f>A13+1</f>
        <v>46270</v>
      </c>
      <c r="B14" s="13" t="inlineStr">
        <is>
          <t xml:space="preserve">Sat</t>
        </is>
      </c>
      <c r="C14" s="13">
        <v>2</v>
      </c>
      <c r="D14" s="13" t="inlineStr">
        <is>
          <t xml:space="preserve">M1</t>
        </is>
      </c>
      <c r="E14" s="5" t="inlineStr">
        <is>
          <t xml:space="preserve">DEEP: polymorphism internals, covariance and contravariance (in/out), generic constraints, why .NET generics are not Java erasure</t>
        </is>
      </c>
      <c r="F14" s="5" t="inlineStr">
        <is>
          <t xml:space="preserve">Write a generic repository with constraints. Inspect the JIT-specialised code</t>
        </is>
      </c>
      <c r="G14" s="5" t="inlineStr">
        <is>
          <t xml:space="preserve">Why List&lt;int&gt; and List&lt;string&gt; are genuinely different types at runtime</t>
        </is>
      </c>
      <c r="H14" s="14"/>
    </row>
    <row r="15" ht="42" customHeight="1">
      <c r="A15" s="12">
        <f>A14+1</f>
        <v>46271</v>
      </c>
      <c r="B15" s="13" t="inlineStr">
        <is>
          <t xml:space="preserve">Sun</t>
        </is>
      </c>
      <c r="C15" s="13">
        <v>2</v>
      </c>
      <c r="D15" s="13" t="inlineStr">
        <is>
          <t xml:space="preserve">M1</t>
        </is>
      </c>
      <c r="E15" s="5" t="inlineStr">
        <is>
          <t xml:space="preserve">WEEKLY TEST. Plan week 3</t>
        </is>
      </c>
      <c r="F15" s="5" t="inlineStr">
        <is>
          <t xml:space="preserve">2-minute recording: interface vs abstract class</t>
        </is>
      </c>
      <c r="G15" s="5" t="inlineStr">
        <is>
          <t xml:space="preserve">3 things you forgot -&gt; Weak List</t>
        </is>
      </c>
      <c r="H15" s="14"/>
    </row>
    <row r="16" ht="42" customHeight="1">
      <c r="A16" s="3">
        <f>A15+1</f>
        <v>46272</v>
      </c>
      <c r="B16" s="11" t="inlineStr">
        <is>
          <t xml:space="preserve">Mon</t>
        </is>
      </c>
      <c r="C16" s="11">
        <v>3</v>
      </c>
      <c r="D16" s="11" t="inlineStr">
        <is>
          <t xml:space="preserve">M1</t>
        </is>
      </c>
      <c r="E16" s="2" t="inlineStr">
        <is>
          <t xml:space="preserve">Collection internals: List&lt;T&gt; growth doubling, Dictionary buckets and collision chains, HashSet, Queue/Stack, SortedDictionary</t>
        </is>
      </c>
      <c r="F16" s="2" t="inlineStr">
        <is>
          <t xml:space="preserve">DSA: two pointers. Implement a toy hash map with separate chaining, ~60 lines</t>
        </is>
      </c>
      <c r="G16" s="2" t="inlineStr">
        <is>
          <t xml:space="preserve">Why dictionary lookup is O(1) average and what degrades it to O(n)</t>
        </is>
      </c>
      <c r="H16" s="6"/>
    </row>
    <row r="17" ht="42" customHeight="1">
      <c r="A17" s="3">
        <f>A16+1</f>
        <v>46273</v>
      </c>
      <c r="B17" s="11" t="inlineStr">
        <is>
          <t xml:space="preserve">Tue</t>
        </is>
      </c>
      <c r="C17" s="11">
        <v>3</v>
      </c>
      <c r="D17" s="11" t="inlineStr">
        <is>
          <t xml:space="preserve">M1</t>
        </is>
      </c>
      <c r="E17" s="2" t="inlineStr">
        <is>
          <t xml:space="preserve">IEnumerable vs ICollection vs IList vs IQueryable. yield return and the compiler-built iterator state machine</t>
        </is>
      </c>
      <c r="F17" s="2" t="inlineStr">
        <is>
          <t xml:space="preserve">DSA. Write an iterator with yield, then view the generated class in SharpLab. + aptitude</t>
        </is>
      </c>
      <c r="G17" s="2" t="inlineStr">
        <is>
          <t xml:space="preserve">What yield return compiles into</t>
        </is>
      </c>
      <c r="H17" s="6"/>
    </row>
    <row r="18" ht="42" customHeight="1">
      <c r="A18" s="3">
        <f>A17+1</f>
        <v>46274</v>
      </c>
      <c r="B18" s="11" t="inlineStr">
        <is>
          <t xml:space="preserve">Wed</t>
        </is>
      </c>
      <c r="C18" s="11">
        <v>3</v>
      </c>
      <c r="D18" s="11" t="inlineStr">
        <is>
          <t xml:space="preserve">M1</t>
        </is>
      </c>
      <c r="E18" s="2" t="inlineStr">
        <is>
          <t xml:space="preserve">LINQ: deferred vs immediate execution, ToList as a materialisation point, multiple-enumeration bugs, IQueryable expression trees</t>
        </is>
      </c>
      <c r="F18" s="2" t="inlineStr">
        <is>
          <t xml:space="preserve">DSA: sliding window. Reproduce a deferred query enumerated twice hitting the DB twice</t>
        </is>
      </c>
      <c r="G18" s="2" t="inlineStr">
        <is>
          <t xml:space="preserve">Why the same LINQ query behaves differently on IEnumerable and IQueryable</t>
        </is>
      </c>
      <c r="H18" s="6"/>
    </row>
    <row r="19" ht="42" customHeight="1">
      <c r="A19" s="3">
        <f>A18+1</f>
        <v>46275</v>
      </c>
      <c r="B19" s="11" t="inlineStr">
        <is>
          <t xml:space="preserve">Thu</t>
        </is>
      </c>
      <c r="C19" s="11">
        <v>3</v>
      </c>
      <c r="D19" s="11" t="inlineStr">
        <is>
          <t xml:space="preserve">M1</t>
        </is>
      </c>
      <c r="E19" s="2" t="inlineStr">
        <is>
          <t xml:space="preserve">Delegates, Func/Action/Predicate, lambdas, closures and captured variables, events, the EventHandler pattern</t>
        </is>
      </c>
      <c r="F19" s="2" t="inlineStr">
        <is>
          <t xml:space="preserve">DSA. The captured-loop-variable trap. See the closure class in SharpLab. + aptitude</t>
        </is>
      </c>
      <c r="G19" s="2" t="inlineStr">
        <is>
          <t xml:space="preserve">What a closure allocates and why it can leak</t>
        </is>
      </c>
      <c r="H19" s="6"/>
    </row>
    <row r="20" ht="42" customHeight="1">
      <c r="A20" s="3">
        <f>A19+1</f>
        <v>46276</v>
      </c>
      <c r="B20" s="11" t="inlineStr">
        <is>
          <t xml:space="preserve">Fri</t>
        </is>
      </c>
      <c r="C20" s="11">
        <v>3</v>
      </c>
      <c r="D20" s="11" t="inlineStr">
        <is>
          <t xml:space="preserve">M1</t>
        </is>
      </c>
      <c r="E20" s="2" t="inlineStr">
        <is>
          <t xml:space="preserve">No new material. Weak List only. Explain the whole week aloud, recorded</t>
        </is>
      </c>
      <c r="F20" s="2" t="inlineStr">
        <is>
          <t xml:space="preserve">Re-solve every DSA problem you needed help with</t>
        </is>
      </c>
      <c r="G20" s="2" t="inlineStr">
        <is>
          <t xml:space="preserve">Everything from this week, cold, no notes</t>
        </is>
      </c>
      <c r="H20" s="6"/>
    </row>
    <row r="21" ht="42" customHeight="1">
      <c r="A21" s="3">
        <f>A20+1</f>
        <v>46277</v>
      </c>
      <c r="B21" s="11" t="inlineStr">
        <is>
          <t xml:space="preserve">Sat</t>
        </is>
      </c>
      <c r="C21" s="11">
        <v>3</v>
      </c>
      <c r="D21" s="11" t="inlineStr">
        <is>
          <t xml:space="preserve">M1</t>
        </is>
      </c>
      <c r="E21" s="2" t="inlineStr">
        <is>
          <t xml:space="preserve">DEEP: IEnumerable vs IAsyncEnumerable, custom iterators, how LINQ operators are implemented</t>
        </is>
      </c>
      <c r="F21" s="2" t="inlineStr">
        <is>
          <t xml:space="preserve">Implement MyWhere&lt;T&gt; and MySelect&lt;T,R&gt; yourself using yield return</t>
        </is>
      </c>
      <c r="G21" s="2" t="inlineStr">
        <is>
          <t xml:space="preserve">How LINQ chains without allocating intermediate lists</t>
        </is>
      </c>
      <c r="H21" s="6"/>
    </row>
    <row r="22" ht="42" customHeight="1">
      <c r="A22" s="3">
        <f>A21+1</f>
        <v>46278</v>
      </c>
      <c r="B22" s="11" t="inlineStr">
        <is>
          <t xml:space="preserve">Sun</t>
        </is>
      </c>
      <c r="C22" s="11">
        <v>3</v>
      </c>
      <c r="D22" s="11" t="inlineStr">
        <is>
          <t xml:space="preserve">M1</t>
        </is>
      </c>
      <c r="E22" s="2" t="inlineStr">
        <is>
          <t xml:space="preserve">WEEKLY TEST. Plan week 4</t>
        </is>
      </c>
      <c r="F22" s="2" t="inlineStr">
        <is>
          <t xml:space="preserve">2-minute recording: deferred execution</t>
        </is>
      </c>
      <c r="G22" s="2" t="inlineStr">
        <is>
          <t xml:space="preserve">3 things you forgot -&gt; Weak List</t>
        </is>
      </c>
      <c r="H22" s="6"/>
    </row>
    <row r="23" ht="42" customHeight="1">
      <c r="A23" s="12">
        <f>A22+1</f>
        <v>46279</v>
      </c>
      <c r="B23" s="13" t="inlineStr">
        <is>
          <t xml:space="preserve">Mon</t>
        </is>
      </c>
      <c r="C23" s="13">
        <v>4</v>
      </c>
      <c r="D23" s="13" t="inlineStr">
        <is>
          <t xml:space="preserve">M1</t>
        </is>
      </c>
      <c r="E23" s="5" t="inlineStr">
        <is>
          <t xml:space="preserve">Exceptions: try/catch/finally, exception filters (when), custom types, throw vs throw ex, real cost, when not to use them for control flow</t>
        </is>
      </c>
      <c r="F23" s="5" t="inlineStr">
        <is>
          <t xml:space="preserve">DSA: stack/queue. Demonstrate throw ex destroying the stack trace</t>
        </is>
      </c>
      <c r="G23" s="5" t="inlineStr">
        <is>
          <t xml:space="preserve">Why throw; and throw ex; differ, and what filters run before</t>
        </is>
      </c>
      <c r="H23" s="14"/>
    </row>
    <row r="24" ht="42" customHeight="1">
      <c r="A24" s="12">
        <f>A23+1</f>
        <v>46280</v>
      </c>
      <c r="B24" s="13" t="inlineStr">
        <is>
          <t xml:space="preserve">Tue</t>
        </is>
      </c>
      <c r="C24" s="13">
        <v>4</v>
      </c>
      <c r="D24" s="13" t="inlineStr">
        <is>
          <t xml:space="preserve">M1</t>
        </is>
      </c>
      <c r="E24" s="5" t="inlineStr">
        <is>
          <t xml:space="preserve">Object lifetime: IDisposable, using, the full dispose pattern, finalizers and why you almost never write one, GC generations 0/1/2 and LOH</t>
        </is>
      </c>
      <c r="F24" s="5" t="inlineStr">
        <is>
          <t xml:space="preserve">DSA. Implement the dispose pattern on a class holding a file handle. + aptitude</t>
        </is>
      </c>
      <c r="G24" s="5" t="inlineStr">
        <is>
          <t xml:space="preserve">Why a finalizer makes object collection take two GC cycles</t>
        </is>
      </c>
      <c r="H24" s="14"/>
    </row>
    <row r="25" ht="42" customHeight="1">
      <c r="A25" s="12">
        <f>A24+1</f>
        <v>46281</v>
      </c>
      <c r="B25" s="13" t="inlineStr">
        <is>
          <t xml:space="preserve">Wed</t>
        </is>
      </c>
      <c r="C25" s="13">
        <v>4</v>
      </c>
      <c r="D25" s="13" t="inlineStr">
        <is>
          <t xml:space="preserve">M1</t>
        </is>
      </c>
      <c r="E25" s="5" t="inlineStr">
        <is>
          <t xml:space="preserve">async/await part 1. Task and Task&lt;T&gt;, what await actually does, the compiler state machine, MoveNext, continuations</t>
        </is>
      </c>
      <c r="F25" s="5" t="inlineStr">
        <is>
          <t xml:space="preserve">DSA: binary search. Paste an async method into SharpLab and read the state machine - the highest-value hour of the month</t>
        </is>
      </c>
      <c r="G25" s="5" t="inlineStr">
        <is>
          <t xml:space="preserve">What the compiler does to an async method, step by step</t>
        </is>
      </c>
      <c r="H25" s="14"/>
    </row>
    <row r="26" ht="42" customHeight="1">
      <c r="A26" s="12">
        <f>A25+1</f>
        <v>46282</v>
      </c>
      <c r="B26" s="13" t="inlineStr">
        <is>
          <t xml:space="preserve">Thu</t>
        </is>
      </c>
      <c r="C26" s="13">
        <v>4</v>
      </c>
      <c r="D26" s="13" t="inlineStr">
        <is>
          <t xml:space="preserve">M1</t>
        </is>
      </c>
      <c r="E26" s="5" t="inlineStr">
        <is>
          <t xml:space="preserve">async/await part 2 - the pitfalls. async void, .Result/.Wait() deadlocks, ConfigureAwait(false), sync context, Task.Run misuse, CancellationToken, ValueTask</t>
        </is>
      </c>
      <c r="F26" s="5" t="inlineStr">
        <is>
          <t xml:space="preserve">DSA. Reproduce a real .Result deadlock, then fix it three different ways. + aptitude</t>
        </is>
      </c>
      <c r="G26" s="5" t="inlineStr">
        <is>
          <t xml:space="preserve">Why .Result deadlocks, in terms of the synchronisation context</t>
        </is>
      </c>
      <c r="H26" s="14"/>
    </row>
    <row r="27" ht="42" customHeight="1">
      <c r="A27" s="12">
        <f>A26+1</f>
        <v>46283</v>
      </c>
      <c r="B27" s="13" t="inlineStr">
        <is>
          <t xml:space="preserve">Fri</t>
        </is>
      </c>
      <c r="C27" s="13">
        <v>4</v>
      </c>
      <c r="D27" s="13" t="inlineStr">
        <is>
          <t xml:space="preserve">M1</t>
        </is>
      </c>
      <c r="E27" s="5" t="inlineStr">
        <is>
          <t xml:space="preserve">No new material. Weak List only. Explain the whole week aloud, recorded</t>
        </is>
      </c>
      <c r="F27" s="5" t="inlineStr">
        <is>
          <t xml:space="preserve">Re-solve every DSA problem you needed help with</t>
        </is>
      </c>
      <c r="G27" s="5" t="inlineStr">
        <is>
          <t xml:space="preserve">Everything from this week, cold, no notes</t>
        </is>
      </c>
      <c r="H27" s="14"/>
    </row>
    <row r="28" ht="42" customHeight="1">
      <c r="A28" s="12">
        <f>A27+1</f>
        <v>46284</v>
      </c>
      <c r="B28" s="13" t="inlineStr">
        <is>
          <t xml:space="preserve">Sat</t>
        </is>
      </c>
      <c r="C28" s="13">
        <v>4</v>
      </c>
      <c r="D28" s="13" t="inlineStr">
        <is>
          <t xml:space="preserve">M1</t>
        </is>
      </c>
      <c r="E28" s="5" t="inlineStr">
        <is>
          <t xml:space="preserve">DEEP: read Stephen Toub's "How Async/Await Really Works" end to end, then re-explain Wed and Thu with the article closed</t>
        </is>
      </c>
      <c r="F28" s="5" t="inlineStr">
        <is>
          <t xml:space="preserve">Write a summary in the six-question frame</t>
        </is>
      </c>
      <c r="G28" s="5" t="inlineStr">
        <is>
          <t xml:space="preserve">Async at article depth</t>
        </is>
      </c>
      <c r="H28" s="14"/>
    </row>
    <row r="29" ht="42" customHeight="1">
      <c r="A29" s="12">
        <f>A28+1</f>
        <v>46285</v>
      </c>
      <c r="B29" s="13" t="inlineStr">
        <is>
          <t xml:space="preserve">Sun</t>
        </is>
      </c>
      <c r="C29" s="13">
        <v>4</v>
      </c>
      <c r="D29" s="13" t="inlineStr">
        <is>
          <t xml:space="preserve">M1</t>
        </is>
      </c>
      <c r="E29" s="5" t="inlineStr">
        <is>
          <t xml:space="preserve">MONTH 1 CUMULATIVE TEST - everything from week 1. Then plan month 2</t>
        </is>
      </c>
      <c r="F29" s="5" t="inlineStr">
        <is>
          <t xml:space="preserve">Record the async explanation. Compare with your week 1 recording - this is your evidence of progress</t>
        </is>
      </c>
      <c r="G29" s="5" t="inlineStr">
        <is>
          <t xml:space="preserve">Run the Month 1 checkpoint list honestly. Any "no" -&gt; Weak List</t>
        </is>
      </c>
      <c r="H29" s="14"/>
    </row>
    <row r="30" ht="42" customHeight="1">
      <c r="A30" s="3">
        <f>A29+1</f>
        <v>46286</v>
      </c>
      <c r="B30" s="11" t="inlineStr">
        <is>
          <t xml:space="preserve">Mon</t>
        </is>
      </c>
      <c r="C30" s="11">
        <v>5</v>
      </c>
      <c r="D30" s="11" t="inlineStr">
        <is>
          <t xml:space="preserve">M2</t>
        </is>
      </c>
      <c r="E30" s="2" t="inlineStr">
        <is>
          <t xml:space="preserve">Process vs thread. Thread vs Task. The thread pool: injection rate, starvation, work-stealing queues. Concurrency vs parallelism</t>
        </is>
      </c>
      <c r="F30" s="2" t="inlineStr">
        <is>
          <t xml:space="preserve">DSA: linked lists. Force thread pool starvation with blocking calls, watch it recover slowly</t>
        </is>
      </c>
      <c r="G30" s="2" t="inlineStr">
        <is>
          <t xml:space="preserve">Why creating 1000 threads is worse than 1000 tasks</t>
        </is>
      </c>
      <c r="H30" s="6"/>
    </row>
    <row r="31" ht="42" customHeight="1">
      <c r="A31" s="3">
        <f>A30+1</f>
        <v>46287</v>
      </c>
      <c r="B31" s="11" t="inlineStr">
        <is>
          <t xml:space="preserve">Tue</t>
        </is>
      </c>
      <c r="C31" s="11">
        <v>5</v>
      </c>
      <c r="D31" s="11" t="inlineStr">
        <is>
          <t xml:space="preserve">M2</t>
        </is>
      </c>
      <c r="E31" s="2" t="inlineStr">
        <is>
          <t xml:space="preserve">Race conditions. lock and what Monitor does underneath. Interlocked. Atomicity. Memory barriers, and why volatile rarely means what people think</t>
        </is>
      </c>
      <c r="F31" s="2" t="inlineStr">
        <is>
          <t xml:space="preserve">DSA. Write a counter with a race, prove it over 10k iterations, fix it three ways. + aptitude</t>
        </is>
      </c>
      <c r="G31" s="2" t="inlineStr">
        <is>
          <t xml:space="preserve">What a race condition is, at the CPU and memory-model level</t>
        </is>
      </c>
      <c r="H31" s="6"/>
    </row>
    <row r="32" ht="42" customHeight="1">
      <c r="A32" s="3">
        <f>A31+1</f>
        <v>46288</v>
      </c>
      <c r="B32" s="11" t="inlineStr">
        <is>
          <t xml:space="preserve">Wed</t>
        </is>
      </c>
      <c r="C32" s="11">
        <v>5</v>
      </c>
      <c r="D32" s="11" t="inlineStr">
        <is>
          <t xml:space="preserve">M2</t>
        </is>
      </c>
      <c r="E32" s="2" t="inlineStr">
        <is>
          <t xml:space="preserve">Deadlocks: the four Coffman conditions. Lock ordering. SemaphoreSlim, ReaderWriterLockSlim, Mutex. Never lock around await</t>
        </is>
      </c>
      <c r="F32" s="2" t="inlineStr">
        <is>
          <t xml:space="preserve">DSA. Write a two-lock deadlock deliberately, then fix it by lock ordering</t>
        </is>
      </c>
      <c r="G32" s="2" t="inlineStr">
        <is>
          <t xml:space="preserve">Why you cannot await inside a lock, and what to use instead</t>
        </is>
      </c>
      <c r="H32" s="6"/>
    </row>
    <row r="33" ht="42" customHeight="1">
      <c r="A33" s="3">
        <f>A32+1</f>
        <v>46289</v>
      </c>
      <c r="B33" s="11" t="inlineStr">
        <is>
          <t xml:space="preserve">Thu</t>
        </is>
      </c>
      <c r="C33" s="11">
        <v>5</v>
      </c>
      <c r="D33" s="11" t="inlineStr">
        <is>
          <t xml:space="preserve">M2</t>
        </is>
      </c>
      <c r="E33" s="2" t="inlineStr">
        <is>
          <t xml:space="preserve">CancellationToken end to end. ConcurrentDictionary, BlockingCollection, Channel&lt;T&gt;. Producer-consumer. Parallel.For and PLINQ, and when they hurt</t>
        </is>
      </c>
      <c r="F33" s="2" t="inlineStr">
        <is>
          <t xml:space="preserve">DSA. Build a producer-consumer pipeline with Channel&lt;T&gt; and graceful cancellation. + aptitude</t>
        </is>
      </c>
      <c r="G33" s="2" t="inlineStr">
        <is>
          <t xml:space="preserve">How cooperative cancellation works and why it is not "killing a thread"</t>
        </is>
      </c>
      <c r="H33" s="6"/>
    </row>
    <row r="34" ht="42" customHeight="1">
      <c r="A34" s="3">
        <f>A33+1</f>
        <v>46290</v>
      </c>
      <c r="B34" s="11" t="inlineStr">
        <is>
          <t xml:space="preserve">Fri</t>
        </is>
      </c>
      <c r="C34" s="11">
        <v>5</v>
      </c>
      <c r="D34" s="11" t="inlineStr">
        <is>
          <t xml:space="preserve">M2</t>
        </is>
      </c>
      <c r="E34" s="2" t="inlineStr">
        <is>
          <t xml:space="preserve">No new material. Weak List only. Explain the whole week aloud, recorded</t>
        </is>
      </c>
      <c r="F34" s="2" t="inlineStr">
        <is>
          <t xml:space="preserve">Re-solve every DSA problem you needed help with</t>
        </is>
      </c>
      <c r="G34" s="2" t="inlineStr">
        <is>
          <t xml:space="preserve">Everything from this week, cold, no notes</t>
        </is>
      </c>
      <c r="H34" s="6"/>
    </row>
    <row r="35" ht="42" customHeight="1">
      <c r="A35" s="3">
        <f>A34+1</f>
        <v>46291</v>
      </c>
      <c r="B35" s="11" t="inlineStr">
        <is>
          <t xml:space="preserve">Sat</t>
        </is>
      </c>
      <c r="C35" s="11">
        <v>5</v>
      </c>
      <c r="D35" s="11" t="inlineStr">
        <is>
          <t xml:space="preserve">M2</t>
        </is>
      </c>
      <c r="E35" s="2" t="inlineStr">
        <is>
          <t xml:space="preserve">DEEP: connect this to your real work. SignalR connection handling, SQS consumer concurrency, how the Casepoint email pipeline behaves under parallel consumers</t>
        </is>
      </c>
      <c r="F35" s="2" t="inlineStr">
        <is>
          <t xml:space="preserve">Draw your actual email-processing architecture and mark every concurrency decision in it</t>
        </is>
      </c>
      <c r="G35" s="2" t="inlineStr">
        <is>
          <t xml:space="preserve">Your own production system, in concurrency vocabulary</t>
        </is>
      </c>
      <c r="H35" s="6"/>
    </row>
    <row r="36" ht="42" customHeight="1">
      <c r="A36" s="3">
        <f>A35+1</f>
        <v>46292</v>
      </c>
      <c r="B36" s="11" t="inlineStr">
        <is>
          <t xml:space="preserve">Sun</t>
        </is>
      </c>
      <c r="C36" s="11">
        <v>5</v>
      </c>
      <c r="D36" s="11" t="inlineStr">
        <is>
          <t xml:space="preserve">M2</t>
        </is>
      </c>
      <c r="E36" s="2" t="inlineStr">
        <is>
          <t xml:space="preserve">WEEKLY TEST. Plan week 6</t>
        </is>
      </c>
      <c r="F36" s="2" t="inlineStr">
        <is>
          <t xml:space="preserve">2-min recording: thread pool starvation</t>
        </is>
      </c>
      <c r="G36" s="2" t="inlineStr">
        <is>
          <t xml:space="preserve">3 things you forgot -&gt; Weak List</t>
        </is>
      </c>
      <c r="H36" s="6"/>
    </row>
    <row r="37" ht="42" customHeight="1">
      <c r="A37" s="12">
        <f>A36+1</f>
        <v>46293</v>
      </c>
      <c r="B37" s="13" t="inlineStr">
        <is>
          <t xml:space="preserve">Mon</t>
        </is>
      </c>
      <c r="C37" s="13">
        <v>6</v>
      </c>
      <c r="D37" s="13" t="inlineStr">
        <is>
          <t xml:space="preserve">M2</t>
        </is>
      </c>
      <c r="E37" s="5" t="inlineStr">
        <is>
          <t xml:space="preserve">.NET Framework vs .NET Core vs modern .NET. CLR vs CoreCLR. Runtime vs SDK vs BCL. JIT, tiered compilation, ReadyToRun, AOT. Assemblies, IL, metadata</t>
        </is>
      </c>
      <c r="F37" s="5" t="inlineStr">
        <is>
          <t xml:space="preserve">DSA: recursion. Write the comparison table yourself BEFORE reading one, then correct it</t>
        </is>
      </c>
      <c r="G37" s="5" t="inlineStr">
        <is>
          <t xml:space="preserve">Framework vs modern .NET, cleanly, in 60 seconds - the gap you named</t>
        </is>
      </c>
      <c r="H37" s="14"/>
    </row>
    <row r="38" ht="42" customHeight="1">
      <c r="A38" s="12">
        <f>A37+1</f>
        <v>46294</v>
      </c>
      <c r="B38" s="13" t="inlineStr">
        <is>
          <t xml:space="preserve">Tue</t>
        </is>
      </c>
      <c r="C38" s="13">
        <v>6</v>
      </c>
      <c r="D38" s="13" t="inlineStr">
        <is>
          <t xml:space="preserve">M2</t>
        </is>
      </c>
      <c r="E38" s="5" t="inlineStr">
        <is>
          <t xml:space="preserve">Garbage collection properly: generations, ephemeral segments, LOH, workstation vs server GC, background GC, GC roots, when finalization runs</t>
        </is>
      </c>
      <c r="F38" s="5" t="inlineStr">
        <is>
          <t xml:space="preserve">DSA. Force gen 2 collections and observe with counters. + aptitude</t>
        </is>
      </c>
      <c r="G38" s="5" t="inlineStr">
        <is>
          <t xml:space="preserve">Why gen 0 collection is cheap and gen 2 is not</t>
        </is>
      </c>
      <c r="H38" s="14"/>
    </row>
    <row r="39" ht="42" customHeight="1">
      <c r="A39" s="12">
        <f>A38+1</f>
        <v>46295</v>
      </c>
      <c r="B39" s="13" t="inlineStr">
        <is>
          <t xml:space="preserve">Wed</t>
        </is>
      </c>
      <c r="C39" s="13">
        <v>6</v>
      </c>
      <c r="D39" s="13" t="inlineStr">
        <is>
          <t xml:space="preserve">M2</t>
        </is>
      </c>
      <c r="E39" s="5" t="inlineStr">
        <is>
          <t xml:space="preserve">ASP.NET Core hosting: Program.cs, generic host, Kestrel, reverse proxy, the middleware pipeline, Use/Run/Map, ordering, short circuiting</t>
        </is>
      </c>
      <c r="F39" s="5" t="inlineStr">
        <is>
          <t xml:space="preserve">DSA. Write three custom middleware components and prove ordering matters by reordering them</t>
        </is>
      </c>
      <c r="G39" s="5" t="inlineStr">
        <is>
          <t xml:space="preserve">The full journey of a request from socket to controller action and back</t>
        </is>
      </c>
      <c r="H39" s="14"/>
    </row>
    <row r="40" ht="42" customHeight="1">
      <c r="A40" s="12">
        <f>A39+1</f>
        <v>46296</v>
      </c>
      <c r="B40" s="13" t="inlineStr">
        <is>
          <t xml:space="preserve">Thu</t>
        </is>
      </c>
      <c r="C40" s="13">
        <v>6</v>
      </c>
      <c r="D40" s="13" t="inlineStr">
        <is>
          <t xml:space="preserve">M2</t>
        </is>
      </c>
      <c r="E40" s="5" t="inlineStr">
        <is>
          <t xml:space="preserve">DI: the container, Transient vs Scoped vs Singleton, the captive dependency problem, IServiceScopeFactory. Configuration precedence. IOptions. Structured logging</t>
        </is>
      </c>
      <c r="F40" s="5" t="inlineStr">
        <is>
          <t xml:space="preserve">DSA. Deliberately inject a Scoped service into a Singleton and observe the failure. + aptitude</t>
        </is>
      </c>
      <c r="G40" s="5" t="inlineStr">
        <is>
          <t xml:space="preserve">Why a Scoped service inside a Singleton is a bug, and what actually happens</t>
        </is>
      </c>
      <c r="H40" s="14"/>
    </row>
    <row r="41" ht="42" customHeight="1">
      <c r="A41" s="12">
        <f>A40+1</f>
        <v>46297</v>
      </c>
      <c r="B41" s="13" t="inlineStr">
        <is>
          <t xml:space="preserve">Fri</t>
        </is>
      </c>
      <c r="C41" s="13">
        <v>6</v>
      </c>
      <c r="D41" s="13" t="inlineStr">
        <is>
          <t xml:space="preserve">M2</t>
        </is>
      </c>
      <c r="E41" s="5" t="inlineStr">
        <is>
          <t xml:space="preserve">No new material. Weak List only. Explain the whole week aloud, recorded</t>
        </is>
      </c>
      <c r="F41" s="5" t="inlineStr">
        <is>
          <t xml:space="preserve">Re-solve every DSA problem you needed help with</t>
        </is>
      </c>
      <c r="G41" s="5" t="inlineStr">
        <is>
          <t xml:space="preserve">Everything from this week, cold, no notes</t>
        </is>
      </c>
      <c r="H41" s="14"/>
    </row>
    <row r="42" ht="42" customHeight="1">
      <c r="A42" s="12">
        <f>A41+1</f>
        <v>46298</v>
      </c>
      <c r="B42" s="13" t="inlineStr">
        <is>
          <t xml:space="preserve">Sat</t>
        </is>
      </c>
      <c r="C42" s="13">
        <v>6</v>
      </c>
      <c r="D42" s="13" t="inlineStr">
        <is>
          <t xml:space="preserve">M2</t>
        </is>
      </c>
      <c r="E42" s="5" t="inlineStr">
        <is>
          <t xml:space="preserve">DEEP: build a minimal ASP.NET Core app from an EMPTY project - no scaffolding, no templates, every line typed and understood. Then the AI block (Doc 12 Track A)</t>
        </is>
      </c>
      <c r="F42" s="5" t="inlineStr">
        <is>
          <t xml:space="preserve">A working API with custom middleware, DI, config and structured logging</t>
        </is>
      </c>
      <c r="G42" s="5" t="inlineStr">
        <is>
          <t xml:space="preserve">Every line of your own Program.cs</t>
        </is>
      </c>
      <c r="H42" s="14"/>
    </row>
    <row r="43" ht="42" customHeight="1">
      <c r="A43" s="12">
        <f>A42+1</f>
        <v>46299</v>
      </c>
      <c r="B43" s="13" t="inlineStr">
        <is>
          <t xml:space="preserve">Sun</t>
        </is>
      </c>
      <c r="C43" s="13">
        <v>6</v>
      </c>
      <c r="D43" s="13" t="inlineStr">
        <is>
          <t xml:space="preserve">M2</t>
        </is>
      </c>
      <c r="E43" s="5" t="inlineStr">
        <is>
          <t xml:space="preserve">WEEKLY TEST. Plan week 7</t>
        </is>
      </c>
      <c r="F43" s="5" t="inlineStr">
        <is>
          <t xml:space="preserve">2-min recording: the request pipeline</t>
        </is>
      </c>
      <c r="G43" s="5" t="inlineStr">
        <is>
          <t xml:space="preserve">3 things you forgot -&gt; Weak List</t>
        </is>
      </c>
      <c r="H43" s="14"/>
    </row>
    <row r="44" ht="42" customHeight="1">
      <c r="A44" s="3">
        <f>A43+1</f>
        <v>46300</v>
      </c>
      <c r="B44" s="11" t="inlineStr">
        <is>
          <t xml:space="preserve">Mon</t>
        </is>
      </c>
      <c r="C44" s="11">
        <v>7</v>
      </c>
      <c r="D44" s="11" t="inlineStr">
        <is>
          <t xml:space="preserve">M2</t>
        </is>
      </c>
      <c r="E44" s="2" t="inlineStr">
        <is>
          <t xml:space="preserve">REST properly: resources, verbs, status codes, idempotency of HTTP methods, versioning, content negotiation, model binding and validation</t>
        </is>
      </c>
      <c r="F44" s="2" t="inlineStr">
        <is>
          <t xml:space="preserve">DSA: trees. Take an API you wrote and critique its REST design in writing</t>
        </is>
      </c>
      <c r="G44" s="2" t="inlineStr">
        <is>
          <t xml:space="preserve">Which HTTP methods are idempotent and why it matters for retries</t>
        </is>
      </c>
      <c r="H44" s="6"/>
    </row>
    <row r="45" ht="42" customHeight="1">
      <c r="A45" s="3">
        <f>A44+1</f>
        <v>46301</v>
      </c>
      <c r="B45" s="11" t="inlineStr">
        <is>
          <t xml:space="preserve">Tue</t>
        </is>
      </c>
      <c r="C45" s="11">
        <v>7</v>
      </c>
      <c r="D45" s="11" t="inlineStr">
        <is>
          <t xml:space="preserve">M2</t>
        </is>
      </c>
      <c r="E45" s="2" t="inlineStr">
        <is>
          <t xml:space="preserve">Authentication vs authorisation. Cookies vs tokens. JWT header/payload/signature. Signing vs encryption, claims, expiry, refresh tokens. OAuth2 and OIDC conceptually</t>
        </is>
      </c>
      <c r="F45" s="2" t="inlineStr">
        <is>
          <t xml:space="preserve">DSA: BST. Decode a JWT by hand at jwt.io, then implement JWT auth with refresh tokens. + aptitude</t>
        </is>
      </c>
      <c r="G45" s="2" t="inlineStr">
        <is>
          <t xml:space="preserve">Why a JWT cannot be revoked, and the three ways teams work around it</t>
        </is>
      </c>
      <c r="H45" s="6"/>
    </row>
    <row r="46" ht="42" customHeight="1">
      <c r="A46" s="3">
        <f>A45+1</f>
        <v>46302</v>
      </c>
      <c r="B46" s="11" t="inlineStr">
        <is>
          <t xml:space="preserve">Wed</t>
        </is>
      </c>
      <c r="C46" s="11">
        <v>7</v>
      </c>
      <c r="D46" s="11" t="inlineStr">
        <is>
          <t xml:space="preserve">M2</t>
        </is>
      </c>
      <c r="E46" s="2" t="inlineStr">
        <is>
          <t xml:space="preserve">EF Core internals: change tracker, tracking vs AsNoTracking, unit of work, SaveChanges batching, lazy vs eager vs explicit loading, N+1, Include, split queries, migrations</t>
        </is>
      </c>
      <c r="F46" s="2" t="inlineStr">
        <is>
          <t xml:space="preserve">DSA. Reproduce an N+1, capture the SQL, fix it, measure both</t>
        </is>
      </c>
      <c r="G46" s="2" t="inlineStr">
        <is>
          <t xml:space="preserve">How the change tracker knows what to update</t>
        </is>
      </c>
      <c r="H46" s="6"/>
    </row>
    <row r="47" ht="42" customHeight="1">
      <c r="A47" s="3">
        <f>A46+1</f>
        <v>46303</v>
      </c>
      <c r="B47" s="11" t="inlineStr">
        <is>
          <t xml:space="preserve">Thu</t>
        </is>
      </c>
      <c r="C47" s="11">
        <v>7</v>
      </c>
      <c r="D47" s="11" t="inlineStr">
        <is>
          <t xml:space="preserve">M2</t>
        </is>
      </c>
      <c r="E47" s="2" t="inlineStr">
        <is>
          <t xml:space="preserve">Caching: IMemoryCache, IDistributedCache, Redis, response caching, cache-aside, invalidation, stampede prevention. Background work: IHostedService, BackgroundService</t>
        </is>
      </c>
      <c r="F47" s="2" t="inlineStr">
        <is>
          <t xml:space="preserve">DSA. Add Redis cache-aside to your week 6 API with correct invalidation. + aptitude</t>
        </is>
      </c>
      <c r="G47" s="2" t="inlineStr">
        <is>
          <t xml:space="preserve">The three hard cases of caching: invalidation, stampede, staleness</t>
        </is>
      </c>
      <c r="H47" s="6"/>
    </row>
    <row r="48" ht="42" customHeight="1">
      <c r="A48" s="3">
        <f>A47+1</f>
        <v>46304</v>
      </c>
      <c r="B48" s="11" t="inlineStr">
        <is>
          <t xml:space="preserve">Fri</t>
        </is>
      </c>
      <c r="C48" s="11">
        <v>7</v>
      </c>
      <c r="D48" s="11" t="inlineStr">
        <is>
          <t xml:space="preserve">M2</t>
        </is>
      </c>
      <c r="E48" s="2" t="inlineStr">
        <is>
          <t xml:space="preserve">No new material. Weak List only. Explain the whole week aloud, recorded</t>
        </is>
      </c>
      <c r="F48" s="2" t="inlineStr">
        <is>
          <t xml:space="preserve">Re-solve every DSA problem you needed help with</t>
        </is>
      </c>
      <c r="G48" s="2" t="inlineStr">
        <is>
          <t xml:space="preserve">Everything from this week, cold, no notes</t>
        </is>
      </c>
      <c r="H48" s="6"/>
    </row>
    <row r="49" ht="42" customHeight="1">
      <c r="A49" s="3">
        <f>A48+1</f>
        <v>46305</v>
      </c>
      <c r="B49" s="11" t="inlineStr">
        <is>
          <t xml:space="preserve">Sat</t>
        </is>
      </c>
      <c r="C49" s="11">
        <v>7</v>
      </c>
      <c r="D49" s="11" t="inlineStr">
        <is>
          <t xml:space="preserve">M2</t>
        </is>
      </c>
      <c r="E49" s="2" t="inlineStr">
        <is>
          <t xml:space="preserve">DEEP: testing. xUnit, arrange-act-assert, mocking with NSubstitute or Moq, integration tests with WebApplicationFactory, Testcontainers against real Postgres</t>
        </is>
      </c>
      <c r="F49" s="2" t="inlineStr">
        <is>
          <t xml:space="preserve">Write unit tests and one integration test for your week 6 API</t>
        </is>
      </c>
      <c r="G49" s="2" t="inlineStr">
        <is>
          <t xml:space="preserve">Unit vs integration vs end-to-end, and what each is actually for</t>
        </is>
      </c>
      <c r="H49" s="6"/>
    </row>
    <row r="50" ht="42" customHeight="1">
      <c r="A50" s="3">
        <f>A49+1</f>
        <v>46306</v>
      </c>
      <c r="B50" s="11" t="inlineStr">
        <is>
          <t xml:space="preserve">Sun</t>
        </is>
      </c>
      <c r="C50" s="11">
        <v>7</v>
      </c>
      <c r="D50" s="11" t="inlineStr">
        <is>
          <t xml:space="preserve">M2</t>
        </is>
      </c>
      <c r="E50" s="2" t="inlineStr">
        <is>
          <t xml:space="preserve">WEEKLY TEST. Plan week 8</t>
        </is>
      </c>
      <c r="F50" s="2" t="inlineStr">
        <is>
          <t xml:space="preserve">2-min recording: JWT and why it cannot be revoked</t>
        </is>
      </c>
      <c r="G50" s="2" t="inlineStr">
        <is>
          <t xml:space="preserve">3 things you forgot -&gt; Weak List</t>
        </is>
      </c>
      <c r="H50" s="6"/>
    </row>
    <row r="51" ht="42" customHeight="1">
      <c r="A51" s="12">
        <f>A50+1</f>
        <v>46307</v>
      </c>
      <c r="B51" s="13" t="inlineStr">
        <is>
          <t xml:space="preserve">Mon</t>
        </is>
      </c>
      <c r="C51" s="13">
        <v>8</v>
      </c>
      <c r="D51" s="13" t="inlineStr">
        <is>
          <t xml:space="preserve">M2</t>
        </is>
      </c>
      <c r="E51" s="5" t="inlineStr">
        <is>
          <t xml:space="preserve">How a database stores data: pages, heaps, clustered vs non-clustered indexes, B-tree structure, covering indexes, included columns, selectivity</t>
        </is>
      </c>
      <c r="F51" s="5" t="inlineStr">
        <is>
          <t xml:space="preserve">DSA: heaps. Create a 1M-row table. Query with and without an index. Measure both</t>
        </is>
      </c>
      <c r="G51" s="5" t="inlineStr">
        <is>
          <t xml:space="preserve">Why an index makes reads faster and writes slower, physically</t>
        </is>
      </c>
      <c r="H51" s="14"/>
    </row>
    <row r="52" ht="42" customHeight="1">
      <c r="A52" s="12">
        <f>A51+1</f>
        <v>46308</v>
      </c>
      <c r="B52" s="13" t="inlineStr">
        <is>
          <t xml:space="preserve">Tue</t>
        </is>
      </c>
      <c r="C52" s="13">
        <v>8</v>
      </c>
      <c r="D52" s="13" t="inlineStr">
        <is>
          <t xml:space="preserve">M2</t>
        </is>
      </c>
      <c r="E52" s="5" t="inlineStr">
        <is>
          <t xml:space="preserve">Execution plans. Seek vs scan vs lookup. Key lookup cost. Statistics and cardinality estimation. SARGability - why a function on a column kills your index</t>
        </is>
      </c>
      <c r="F52" s="5" t="inlineStr">
        <is>
          <t xml:space="preserve">DSA. Take three slow queries from your ACTUAL work and read their plans. + aptitude</t>
        </is>
      </c>
      <c r="G52" s="5" t="inlineStr">
        <is>
          <t xml:space="preserve">Why WHERE YEAR(created)=2026 cannot use an index, and how to rewrite it</t>
        </is>
      </c>
      <c r="H52" s="14"/>
    </row>
    <row r="53" ht="42" customHeight="1">
      <c r="A53" s="12">
        <f>A52+1</f>
        <v>46309</v>
      </c>
      <c r="B53" s="13" t="inlineStr">
        <is>
          <t xml:space="preserve">Wed</t>
        </is>
      </c>
      <c r="C53" s="13">
        <v>8</v>
      </c>
      <c r="D53" s="13" t="inlineStr">
        <is>
          <t xml:space="preserve">M2</t>
        </is>
      </c>
      <c r="E53" s="5" t="inlineStr">
        <is>
          <t xml:space="preserve">Joins: nested loops, merge, hash - when the optimiser picks each. SQL logical execution order. Window functions. CTEs vs subqueries vs temp tables</t>
        </is>
      </c>
      <c r="F53" s="5" t="inlineStr">
        <is>
          <t xml:space="preserve">DSA. Write queries that force each join type; compare the plans</t>
        </is>
      </c>
      <c r="G53" s="5" t="inlineStr">
        <is>
          <t xml:space="preserve">Why the optimiser chose a hash join over nested loops</t>
        </is>
      </c>
      <c r="H53" s="14"/>
    </row>
    <row r="54" ht="42" customHeight="1">
      <c r="A54" s="12">
        <f>A53+1</f>
        <v>46310</v>
      </c>
      <c r="B54" s="13" t="inlineStr">
        <is>
          <t xml:space="preserve">Thu</t>
        </is>
      </c>
      <c r="C54" s="13">
        <v>8</v>
      </c>
      <c r="D54" s="13" t="inlineStr">
        <is>
          <t xml:space="preserve">M2</t>
        </is>
      </c>
      <c r="E54" s="5" t="inlineStr">
        <is>
          <t xml:space="preserve">Transactions and ACID. Isolation levels and the anomalies each permits. Locking, lock escalation, deadlocks. MVCC in PostgreSQL vs locking in SQL Server</t>
        </is>
      </c>
      <c r="F54" s="5" t="inlineStr">
        <is>
          <t xml:space="preserve">DSA. Reproduce a dirty read, a phantom read and a deadlock in two sessions. + aptitude</t>
        </is>
      </c>
      <c r="G54" s="5" t="inlineStr">
        <is>
          <t xml:space="preserve">Isolation levels mapped to anomalies, from memory, as a table</t>
        </is>
      </c>
      <c r="H54" s="14"/>
    </row>
    <row r="55" ht="42" customHeight="1">
      <c r="A55" s="12">
        <f>A54+1</f>
        <v>46311</v>
      </c>
      <c r="B55" s="13" t="inlineStr">
        <is>
          <t xml:space="preserve">Fri</t>
        </is>
      </c>
      <c r="C55" s="13">
        <v>8</v>
      </c>
      <c r="D55" s="13" t="inlineStr">
        <is>
          <t xml:space="preserve">M2</t>
        </is>
      </c>
      <c r="E55" s="5" t="inlineStr">
        <is>
          <t xml:space="preserve">No new material. Weak List only. Explain the whole week aloud, recorded</t>
        </is>
      </c>
      <c r="F55" s="5" t="inlineStr">
        <is>
          <t xml:space="preserve">Re-solve every DSA problem you needed help with</t>
        </is>
      </c>
      <c r="G55" s="5" t="inlineStr">
        <is>
          <t xml:space="preserve">Everything from this week, cold, no notes</t>
        </is>
      </c>
      <c r="H55" s="14"/>
    </row>
    <row r="56" ht="42" customHeight="1">
      <c r="A56" s="12">
        <f>A55+1</f>
        <v>46312</v>
      </c>
      <c r="B56" s="13" t="inlineStr">
        <is>
          <t xml:space="preserve">Sat</t>
        </is>
      </c>
      <c r="C56" s="13">
        <v>8</v>
      </c>
      <c r="D56" s="13" t="inlineStr">
        <is>
          <t xml:space="preserve">M2</t>
        </is>
      </c>
      <c r="E56" s="5" t="inlineStr">
        <is>
          <t xml:space="preserve">DEEP: normalisation 1NF-3NF and deliberate denormalisation. Partitioning. Read replicas. Connection pooling. Read "Use The Index, Luke"</t>
        </is>
      </c>
      <c r="F56" s="5" t="inlineStr">
        <is>
          <t xml:space="preserve">Design the schema for a job-processing system - this becomes your project schema</t>
        </is>
      </c>
      <c r="G56" s="5" t="inlineStr">
        <is>
          <t xml:space="preserve">When you would denormalise on purpose, with a real example</t>
        </is>
      </c>
      <c r="H56" s="14"/>
    </row>
    <row r="57" ht="42" customHeight="1">
      <c r="A57" s="12">
        <f>A56+1</f>
        <v>46313</v>
      </c>
      <c r="B57" s="13" t="inlineStr">
        <is>
          <t xml:space="preserve">Sun</t>
        </is>
      </c>
      <c r="C57" s="13">
        <v>8</v>
      </c>
      <c r="D57" s="13" t="inlineStr">
        <is>
          <t xml:space="preserve">M2</t>
        </is>
      </c>
      <c r="E57" s="5" t="inlineStr">
        <is>
          <t xml:space="preserve">MONTH 2 CUMULATIVE TEST - covers months 1 and 2. Plan month 3</t>
        </is>
      </c>
      <c r="F57" s="5" t="inlineStr">
        <is>
          <t xml:space="preserve">2-min recording: isolation levels</t>
        </is>
      </c>
      <c r="G57" s="5" t="inlineStr">
        <is>
          <t xml:space="preserve">Run the Month 2 checkpoint list honestly</t>
        </is>
      </c>
      <c r="H57" s="14"/>
    </row>
    <row r="58" ht="42" customHeight="1">
      <c r="A58" s="3">
        <f>A57+1</f>
        <v>46314</v>
      </c>
      <c r="B58" s="11" t="inlineStr">
        <is>
          <t xml:space="preserve">Mon</t>
        </is>
      </c>
      <c r="C58" s="11">
        <v>9</v>
      </c>
      <c r="D58" s="11" t="inlineStr">
        <is>
          <t xml:space="preserve">M3</t>
        </is>
      </c>
      <c r="E58" s="2" t="inlineStr">
        <is>
          <t xml:space="preserve">The full URL journey. DNS resolution (recursive resolver, root, TLD, authoritative, caching, TTL), ARP, IP routing, OSI and TCP/IP mapped to reality</t>
        </is>
      </c>
      <c r="F58" s="2" t="inlineStr">
        <is>
          <t xml:space="preserve">DSA: graphs. Run nslookup, tracert and ping against a real domain and narrate each hop</t>
        </is>
      </c>
      <c r="G58" s="2" t="inlineStr">
        <is>
          <t xml:space="preserve">"What happens when you type a URL and press enter" - in full</t>
        </is>
      </c>
      <c r="H58" s="6"/>
    </row>
    <row r="59" ht="42" customHeight="1">
      <c r="A59" s="3">
        <f>A58+1</f>
        <v>46315</v>
      </c>
      <c r="B59" s="11" t="inlineStr">
        <is>
          <t xml:space="preserve">Tue</t>
        </is>
      </c>
      <c r="C59" s="11">
        <v>9</v>
      </c>
      <c r="D59" s="11" t="inlineStr">
        <is>
          <t xml:space="preserve">M3</t>
        </is>
      </c>
      <c r="E59" s="2" t="inlineStr">
        <is>
          <t xml:space="preserve">TCP: three-way handshake, sequence numbers, ACKs, retransmission, flow control, congestion control, head-of-line blocking, teardown and TIME_WAIT. UDP and when it wins</t>
        </is>
      </c>
      <c r="F59" s="2" t="inlineStr">
        <is>
          <t xml:space="preserve">DSA. Capture a handshake in Wireshark or via netstat and identify each packet. + aptitude</t>
        </is>
      </c>
      <c r="G59" s="2" t="inlineStr">
        <is>
          <t xml:space="preserve">Why TCP is reliable and what that reliability costs in latency</t>
        </is>
      </c>
      <c r="H59" s="6"/>
    </row>
    <row r="60" ht="42" customHeight="1">
      <c r="A60" s="3">
        <f>A59+1</f>
        <v>46316</v>
      </c>
      <c r="B60" s="11" t="inlineStr">
        <is>
          <t xml:space="preserve">Wed</t>
        </is>
      </c>
      <c r="C60" s="11">
        <v>9</v>
      </c>
      <c r="D60" s="11" t="inlineStr">
        <is>
          <t xml:space="preserve">M3</t>
        </is>
      </c>
      <c r="E60" s="2" t="inlineStr">
        <is>
          <t xml:space="preserve">TLS: the handshake, certificates and chain of trust, CA validation, symmetric vs asymmetric in one protocol, session resumption, what HTTPS does not protect</t>
        </is>
      </c>
      <c r="F60" s="2" t="inlineStr">
        <is>
          <t xml:space="preserve">DSA. Inspect a real certificate chain in your browser and read each field</t>
        </is>
      </c>
      <c r="G60" s="2" t="inlineStr">
        <is>
          <t xml:space="preserve">Why TLS uses asymmetric crypto to establish symmetric keys</t>
        </is>
      </c>
      <c r="H60" s="6"/>
    </row>
    <row r="61" ht="42" customHeight="1">
      <c r="A61" s="3">
        <f>A60+1</f>
        <v>46317</v>
      </c>
      <c r="B61" s="11" t="inlineStr">
        <is>
          <t xml:space="preserve">Thu</t>
        </is>
      </c>
      <c r="C61" s="11">
        <v>9</v>
      </c>
      <c r="D61" s="11" t="inlineStr">
        <is>
          <t xml:space="preserve">M3</t>
        </is>
      </c>
      <c r="E61" s="2" t="inlineStr">
        <is>
          <t xml:space="preserve">HTTP: 1.1 vs 2 vs 3, persistent connections, multiplexing, QUIC. Methods, status codes, caching headers, ETag, conditional requests, cookies, CORS</t>
        </is>
      </c>
      <c r="F61" s="2" t="inlineStr">
        <is>
          <t xml:space="preserve">DSA. Reproduce a CORS failure and fix it correctly, understanding preflight. + aptitude</t>
        </is>
      </c>
      <c r="G61" s="2" t="inlineStr">
        <is>
          <t xml:space="preserve">Why HTTP/2 multiplexing solved a problem HTTP/1.1 pipelining did not</t>
        </is>
      </c>
      <c r="H61" s="6"/>
    </row>
    <row r="62" ht="42" customHeight="1">
      <c r="A62" s="3">
        <f>A61+1</f>
        <v>46318</v>
      </c>
      <c r="B62" s="11" t="inlineStr">
        <is>
          <t xml:space="preserve">Fri</t>
        </is>
      </c>
      <c r="C62" s="11">
        <v>9</v>
      </c>
      <c r="D62" s="11" t="inlineStr">
        <is>
          <t xml:space="preserve">M3</t>
        </is>
      </c>
      <c r="E62" s="2" t="inlineStr">
        <is>
          <t xml:space="preserve">No new material. Weak List only. Explain the whole week aloud, recorded</t>
        </is>
      </c>
      <c r="F62" s="2" t="inlineStr">
        <is>
          <t xml:space="preserve">Re-solve every DSA problem you needed help with</t>
        </is>
      </c>
      <c r="G62" s="2" t="inlineStr">
        <is>
          <t xml:space="preserve">Everything from this week, cold, no notes</t>
        </is>
      </c>
      <c r="H62" s="6"/>
    </row>
    <row r="63" ht="42" customHeight="1">
      <c r="A63" s="3">
        <f>A62+1</f>
        <v>46319</v>
      </c>
      <c r="B63" s="11" t="inlineStr">
        <is>
          <t xml:space="preserve">Sat</t>
        </is>
      </c>
      <c r="C63" s="11">
        <v>9</v>
      </c>
      <c r="D63" s="11" t="inlineStr">
        <is>
          <t xml:space="preserve">M3</t>
        </is>
      </c>
      <c r="E63" s="2" t="inlineStr">
        <is>
          <t xml:space="preserve">DEEP: WebSockets and SignalR. The upgrade handshake, framing, ping/pong, scaling stateful connections, Redis backplane, sticky sessions, fallbacks</t>
        </is>
      </c>
      <c r="F63" s="2" t="inlineStr">
        <is>
          <t xml:space="preserve">Draw how you would scale your VCDoctor messaging to 100k concurrent users</t>
        </is>
      </c>
      <c r="G63" s="2" t="inlineStr">
        <is>
          <t xml:space="preserve">Why WebSocket scaling is harder than HTTP scaling</t>
        </is>
      </c>
      <c r="H63" s="6"/>
    </row>
    <row r="64" ht="42" customHeight="1">
      <c r="A64" s="3">
        <f>A63+1</f>
        <v>46320</v>
      </c>
      <c r="B64" s="11" t="inlineStr">
        <is>
          <t xml:space="preserve">Sun</t>
        </is>
      </c>
      <c r="C64" s="11">
        <v>9</v>
      </c>
      <c r="D64" s="11" t="inlineStr">
        <is>
          <t xml:space="preserve">M3</t>
        </is>
      </c>
      <c r="E64" s="2" t="inlineStr">
        <is>
          <t xml:space="preserve">WEEKLY TEST. Plan week 10</t>
        </is>
      </c>
      <c r="F64" s="2" t="inlineStr">
        <is>
          <t xml:space="preserve">2-min recording: the URL journey</t>
        </is>
      </c>
      <c r="G64" s="2" t="inlineStr">
        <is>
          <t xml:space="preserve">3 things you forgot -&gt; Weak List</t>
        </is>
      </c>
      <c r="H64" s="6"/>
    </row>
    <row r="65" ht="42" customHeight="1">
      <c r="A65" s="12">
        <f>A64+1</f>
        <v>46321</v>
      </c>
      <c r="B65" s="13" t="inlineStr">
        <is>
          <t xml:space="preserve">Mon</t>
        </is>
      </c>
      <c r="C65" s="13">
        <v>10</v>
      </c>
      <c r="D65" s="13" t="inlineStr">
        <is>
          <t xml:space="preserve">M3</t>
        </is>
      </c>
      <c r="E65" s="5" t="inlineStr">
        <is>
          <t xml:space="preserve">Process vs thread at OS level. Address space, PCB, context switching and its real cost. User mode vs kernel mode, system calls. Process lifecycle</t>
        </is>
      </c>
      <c r="F65" s="5" t="inlineStr">
        <is>
          <t xml:space="preserve">DSA: topological sort. Measure context switch cost - 1000 threads vs a bounded pool</t>
        </is>
      </c>
      <c r="G65" s="5" t="inlineStr">
        <is>
          <t xml:space="preserve">Why context switching is expensive, in terms of cache and TLB</t>
        </is>
      </c>
      <c r="H65" s="14"/>
    </row>
    <row r="66" ht="42" customHeight="1">
      <c r="A66" s="12">
        <f>A65+1</f>
        <v>46322</v>
      </c>
      <c r="B66" s="13" t="inlineStr">
        <is>
          <t xml:space="preserve">Tue</t>
        </is>
      </c>
      <c r="C66" s="13">
        <v>10</v>
      </c>
      <c r="D66" s="13" t="inlineStr">
        <is>
          <t xml:space="preserve">M3</t>
        </is>
      </c>
      <c r="E66" s="5" t="inlineStr">
        <is>
          <t xml:space="preserve">Memory: virtual memory, paging, page tables, TLB, page faults, swapping, memory-mapped files. Stack vs heap at OS level, tied back to month 1</t>
        </is>
      </c>
      <c r="F66" s="5" t="inlineStr">
        <is>
          <t xml:space="preserve">DSA: union-find. Trigger and observe page faults. Read your process memory counters. + aptitude</t>
        </is>
      </c>
      <c r="G66" s="5" t="inlineStr">
        <is>
          <t xml:space="preserve">The difference between virtual and physical memory, and why virtual memory exists</t>
        </is>
      </c>
      <c r="H66" s="14"/>
    </row>
    <row r="67" ht="42" customHeight="1">
      <c r="A67" s="12">
        <f>A66+1</f>
        <v>46323</v>
      </c>
      <c r="B67" s="13" t="inlineStr">
        <is>
          <t xml:space="preserve">Wed</t>
        </is>
      </c>
      <c r="C67" s="13">
        <v>10</v>
      </c>
      <c r="D67" s="13" t="inlineStr">
        <is>
          <t xml:space="preserve">M3</t>
        </is>
      </c>
      <c r="E67" s="5" t="inlineStr">
        <is>
          <t xml:space="preserve">Scheduling: preemptive vs cooperative, time slices, priorities, starvation, round robin, MLFQ. Then map it to the .NET thread pool scheduler</t>
        </is>
      </c>
      <c r="F67" s="5" t="inlineStr">
        <is>
          <t xml:space="preserve">DSA. Draw both schedulers as a two-layer diagram</t>
        </is>
      </c>
      <c r="G67" s="5" t="inlineStr">
        <is>
          <t xml:space="preserve">Where the OS scheduler ends and the .NET scheduler begins</t>
        </is>
      </c>
      <c r="H67" s="14"/>
    </row>
    <row r="68" ht="42" customHeight="1">
      <c r="A68" s="12">
        <f>A67+1</f>
        <v>46324</v>
      </c>
      <c r="B68" s="13" t="inlineStr">
        <is>
          <t xml:space="preserve">Thu</t>
        </is>
      </c>
      <c r="C68" s="13">
        <v>10</v>
      </c>
      <c r="D68" s="13" t="inlineStr">
        <is>
          <t xml:space="preserve">M3</t>
        </is>
      </c>
      <c r="E68" s="5" t="inlineStr">
        <is>
          <t xml:space="preserve">OS synchronisation: mutex vs semaphore vs spinlock, futex, atomic CAS, deadlock conditions from the OS side, priority inversion. IPC: pipes, shared memory, sockets</t>
        </is>
      </c>
      <c r="F68" s="5" t="inlineStr">
        <is>
          <t xml:space="preserve">DSA. Implement a spinlock with Interlocked.CompareExchange. + aptitude</t>
        </is>
      </c>
      <c r="G68" s="5" t="inlineStr">
        <is>
          <t xml:space="preserve">When a spinlock is correct and when it is catastrophic</t>
        </is>
      </c>
      <c r="H68" s="14"/>
    </row>
    <row r="69" ht="42" customHeight="1">
      <c r="A69" s="12">
        <f>A68+1</f>
        <v>46325</v>
      </c>
      <c r="B69" s="13" t="inlineStr">
        <is>
          <t xml:space="preserve">Fri</t>
        </is>
      </c>
      <c r="C69" s="13">
        <v>10</v>
      </c>
      <c r="D69" s="13" t="inlineStr">
        <is>
          <t xml:space="preserve">M3</t>
        </is>
      </c>
      <c r="E69" s="5" t="inlineStr">
        <is>
          <t xml:space="preserve">No new material. Weak List only. Explain the whole week aloud, recorded</t>
        </is>
      </c>
      <c r="F69" s="5" t="inlineStr">
        <is>
          <t xml:space="preserve">Re-solve every DSA problem you needed help with</t>
        </is>
      </c>
      <c r="G69" s="5" t="inlineStr">
        <is>
          <t xml:space="preserve">Everything from this week, cold, no notes</t>
        </is>
      </c>
      <c r="H69" s="14"/>
    </row>
    <row r="70" ht="42" customHeight="1">
      <c r="A70" s="12">
        <f>A69+1</f>
        <v>46326</v>
      </c>
      <c r="B70" s="13" t="inlineStr">
        <is>
          <t xml:space="preserve">Sat</t>
        </is>
      </c>
      <c r="C70" s="13">
        <v>10</v>
      </c>
      <c r="D70" s="13" t="inlineStr">
        <is>
          <t xml:space="preserve">M3</t>
        </is>
      </c>
      <c r="E70" s="5" t="inlineStr">
        <is>
          <t xml:space="preserve">DEEP: file systems and I/O. Blocking vs non-blocking, sync vs async I/O, select/epoll/IOCP, and how this underpins async in .NET - closes the loop with M1 W4</t>
        </is>
      </c>
      <c r="F70" s="5" t="inlineStr">
        <is>
          <t xml:space="preserve">Explain how await on a file read maps down to IOCP and back</t>
        </is>
      </c>
      <c r="G70" s="5" t="inlineStr">
        <is>
          <t xml:space="preserve">Why async I/O does not need a thread while waiting</t>
        </is>
      </c>
      <c r="H70" s="14"/>
    </row>
    <row r="71" ht="42" customHeight="1">
      <c r="A71" s="12">
        <f>A70+1</f>
        <v>46327</v>
      </c>
      <c r="B71" s="13" t="inlineStr">
        <is>
          <t xml:space="preserve">Sun</t>
        </is>
      </c>
      <c r="C71" s="13">
        <v>10</v>
      </c>
      <c r="D71" s="13" t="inlineStr">
        <is>
          <t xml:space="preserve">M3</t>
        </is>
      </c>
      <c r="E71" s="5" t="inlineStr">
        <is>
          <t xml:space="preserve">WEEKLY TEST. Plan week 11</t>
        </is>
      </c>
      <c r="F71" s="5" t="inlineStr">
        <is>
          <t xml:space="preserve">2-min recording: virtual memory</t>
        </is>
      </c>
      <c r="G71" s="5" t="inlineStr">
        <is>
          <t xml:space="preserve">3 things you forgot -&gt; Weak List</t>
        </is>
      </c>
      <c r="H71" s="14"/>
    </row>
    <row r="72" ht="42" customHeight="1">
      <c r="A72" s="3">
        <f>A71+1</f>
        <v>46328</v>
      </c>
      <c r="B72" s="11" t="inlineStr">
        <is>
          <t xml:space="preserve">Mon</t>
        </is>
      </c>
      <c r="C72" s="11">
        <v>11</v>
      </c>
      <c r="D72" s="11" t="inlineStr">
        <is>
          <t xml:space="preserve">M3</t>
        </is>
      </c>
      <c r="E72" s="2" t="inlineStr">
        <is>
          <t xml:space="preserve">Replication: leader-follower, replication lag, read-your-writes, multi-leader, leaderless, quorum (R+W&gt;N). Failover and split brain</t>
        </is>
      </c>
      <c r="F72" s="2" t="inlineStr">
        <is>
          <t xml:space="preserve">DSA: intervals. Draw the read-after-write problem and three fixes</t>
        </is>
      </c>
      <c r="G72" s="2" t="inlineStr">
        <is>
          <t xml:space="preserve">Why a read replica can serve stale data, and how you would hide that from a user</t>
        </is>
      </c>
      <c r="H72" s="6"/>
    </row>
    <row r="73" ht="42" customHeight="1">
      <c r="A73" s="3">
        <f>A72+1</f>
        <v>46329</v>
      </c>
      <c r="B73" s="11" t="inlineStr">
        <is>
          <t xml:space="preserve">Tue</t>
        </is>
      </c>
      <c r="C73" s="11">
        <v>11</v>
      </c>
      <c r="D73" s="11" t="inlineStr">
        <is>
          <t xml:space="preserve">M3</t>
        </is>
      </c>
      <c r="E73" s="2" t="inlineStr">
        <is>
          <t xml:space="preserve">Partitioning and sharding: key range, hash, consistent hashing and virtual nodes, hot partitions, rebalancing, secondary indexes in a sharded world</t>
        </is>
      </c>
      <c r="F73" s="2" t="inlineStr">
        <is>
          <t xml:space="preserve">DSA. Implement consistent hashing in C#, ~80 lines, with virtual nodes. + aptitude</t>
        </is>
      </c>
      <c r="G73" s="2" t="inlineStr">
        <is>
          <t xml:space="preserve">Why consistent hashing beats modulo hashing when a node is added</t>
        </is>
      </c>
      <c r="H73" s="6"/>
    </row>
    <row r="74" ht="42" customHeight="1">
      <c r="A74" s="3">
        <f>A73+1</f>
        <v>46330</v>
      </c>
      <c r="B74" s="11" t="inlineStr">
        <is>
          <t xml:space="preserve">Wed</t>
        </is>
      </c>
      <c r="C74" s="11">
        <v>11</v>
      </c>
      <c r="D74" s="11" t="inlineStr">
        <is>
          <t xml:space="preserve">M3</t>
        </is>
      </c>
      <c r="E74" s="2" t="inlineStr">
        <is>
          <t xml:space="preserve">CAP and consistency: what CAP actually says and the common misreading, PACELC, strong vs eventual vs causal, linearizability. LWW, vector clocks, CRDTs conceptually</t>
        </is>
      </c>
      <c r="F74" s="2" t="inlineStr">
        <is>
          <t xml:space="preserve">DSA: greedy. Write, in your own words, why "pick two" is a misleading summary of CAP</t>
        </is>
      </c>
      <c r="G74" s="2" t="inlineStr">
        <is>
          <t xml:space="preserve">CAP correctly - most candidates get this wrong and it is noticeable</t>
        </is>
      </c>
      <c r="H74" s="6"/>
    </row>
    <row r="75" ht="42" customHeight="1">
      <c r="A75" s="3">
        <f>A74+1</f>
        <v>46331</v>
      </c>
      <c r="B75" s="11" t="inlineStr">
        <is>
          <t xml:space="preserve">Thu</t>
        </is>
      </c>
      <c r="C75" s="11">
        <v>11</v>
      </c>
      <c r="D75" s="11" t="inlineStr">
        <is>
          <t xml:space="preserve">M3</t>
        </is>
      </c>
      <c r="E75" s="2" t="inlineStr">
        <is>
          <t xml:space="preserve">Caching in depth: cache-aside, read-through, write-through, write-behind, refresh-ahead. LRU/LFU/TTL eviction. Stampede, thundering herd. Redis internals and persistence</t>
        </is>
      </c>
      <c r="F75" s="2" t="inlineStr">
        <is>
          <t xml:space="preserve">DSA. Implement LRU cache from scratch (it is also a LeetCode problem - do both). + aptitude</t>
        </is>
      </c>
      <c r="G75" s="2" t="inlineStr">
        <is>
          <t xml:space="preserve">Why Redis being single-threaded is a feature, not a limitation</t>
        </is>
      </c>
      <c r="H75" s="6"/>
    </row>
    <row r="76" ht="42" customHeight="1">
      <c r="A76" s="3">
        <f>A75+1</f>
        <v>46332</v>
      </c>
      <c r="B76" s="11" t="inlineStr">
        <is>
          <t xml:space="preserve">Fri</t>
        </is>
      </c>
      <c r="C76" s="11">
        <v>11</v>
      </c>
      <c r="D76" s="11" t="inlineStr">
        <is>
          <t xml:space="preserve">M3</t>
        </is>
      </c>
      <c r="E76" s="2" t="inlineStr">
        <is>
          <t xml:space="preserve">No new material. Weak List only. Explain the whole week aloud, recorded</t>
        </is>
      </c>
      <c r="F76" s="2" t="inlineStr">
        <is>
          <t xml:space="preserve">Re-solve every DSA problem you needed help with</t>
        </is>
      </c>
      <c r="G76" s="2" t="inlineStr">
        <is>
          <t xml:space="preserve">Everything from this week, cold, no notes</t>
        </is>
      </c>
      <c r="H76" s="6"/>
    </row>
    <row r="77" ht="42" customHeight="1">
      <c r="A77" s="3">
        <f>A76+1</f>
        <v>46333</v>
      </c>
      <c r="B77" s="11" t="inlineStr">
        <is>
          <t xml:space="preserve">Sat</t>
        </is>
      </c>
      <c r="C77" s="11">
        <v>11</v>
      </c>
      <c r="D77" s="11" t="inlineStr">
        <is>
          <t xml:space="preserve">M3</t>
        </is>
      </c>
      <c r="E77" s="2" t="inlineStr">
        <is>
          <t xml:space="preserve">DEEP: SQL vs NoSQL honestly - document, key-value, wide-column, graph. Then READ UNFAMILIAR CODE: pick an open-source .NET repo and read a subsystem cold for 90 min</t>
        </is>
      </c>
      <c r="F77" s="2" t="inlineStr">
        <is>
          <t xml:space="preserve">A written explanation of a subsystem you had never seen. Then the AI block (Track B)</t>
        </is>
      </c>
      <c r="G77" s="2" t="inlineStr">
        <is>
          <t xml:space="preserve">How you approach unfamiliar code - Google's code-comprehension round</t>
        </is>
      </c>
      <c r="H77" s="6"/>
    </row>
    <row r="78" ht="42" customHeight="1">
      <c r="A78" s="3">
        <f>A77+1</f>
        <v>46334</v>
      </c>
      <c r="B78" s="11" t="inlineStr">
        <is>
          <t xml:space="preserve">Sun</t>
        </is>
      </c>
      <c r="C78" s="11">
        <v>11</v>
      </c>
      <c r="D78" s="11" t="inlineStr">
        <is>
          <t xml:space="preserve">M3</t>
        </is>
      </c>
      <c r="E78" s="2" t="inlineStr">
        <is>
          <t xml:space="preserve">WEEKLY TEST. Plan week 12</t>
        </is>
      </c>
      <c r="F78" s="2" t="inlineStr">
        <is>
          <t xml:space="preserve">2-min recording: consistent hashing</t>
        </is>
      </c>
      <c r="G78" s="2" t="inlineStr">
        <is>
          <t xml:space="preserve">3 things you forgot -&gt; Weak List</t>
        </is>
      </c>
      <c r="H78" s="6"/>
    </row>
    <row r="79" ht="42" customHeight="1">
      <c r="A79" s="12">
        <f>A78+1</f>
        <v>46335</v>
      </c>
      <c r="B79" s="13" t="inlineStr">
        <is>
          <t xml:space="preserve">Mon</t>
        </is>
      </c>
      <c r="C79" s="13">
        <v>12</v>
      </c>
      <c r="D79" s="13" t="inlineStr">
        <is>
          <t xml:space="preserve">M3</t>
        </is>
      </c>
      <c r="E79" s="5" t="inlineStr">
        <is>
          <t xml:space="preserve">Queues and messaging. Point-to-point vs pub/sub. Acknowledgements, visibility timeout, at-most-once vs at-least-once vs "exactly-once" and why that last one is a myth</t>
        </is>
      </c>
      <c r="F79" s="5" t="inlineStr">
        <is>
          <t xml:space="preserve">DSA: mixed set from here on - no pattern hints. Write up your Casepoint SQS/EventBridge pipeline in this vocabulary</t>
        </is>
      </c>
      <c r="G79" s="5" t="inlineStr">
        <is>
          <t xml:space="preserve">Delivery guarantees, and why idempotency is the real answer</t>
        </is>
      </c>
      <c r="H79" s="14"/>
    </row>
    <row r="80" ht="42" customHeight="1">
      <c r="A80" s="12">
        <f>A79+1</f>
        <v>46336</v>
      </c>
      <c r="B80" s="13" t="inlineStr">
        <is>
          <t xml:space="preserve">Tue</t>
        </is>
      </c>
      <c r="C80" s="13">
        <v>12</v>
      </c>
      <c r="D80" s="13" t="inlineStr">
        <is>
          <t xml:space="preserve">M3</t>
        </is>
      </c>
      <c r="E80" s="5" t="inlineStr">
        <is>
          <t xml:space="preserve">Reliability patterns: retries, exponential backoff, jitter, poison messages, DLQs, idempotency keys, dedup windows, ordering and FIFO queues, backpressure</t>
        </is>
      </c>
      <c r="F80" s="5" t="inlineStr">
        <is>
          <t xml:space="preserve">DSA. Design the retry and DLQ policy for your project. Write it down with numbers. + aptitude</t>
        </is>
      </c>
      <c r="G80" s="5" t="inlineStr">
        <is>
          <t xml:space="preserve">Why retries without jitter cause a thundering herd</t>
        </is>
      </c>
      <c r="H80" s="14"/>
    </row>
    <row r="81" ht="42" customHeight="1">
      <c r="A81" s="12">
        <f>A80+1</f>
        <v>46337</v>
      </c>
      <c r="B81" s="13" t="inlineStr">
        <is>
          <t xml:space="preserve">Wed</t>
        </is>
      </c>
      <c r="C81" s="13">
        <v>12</v>
      </c>
      <c r="D81" s="13" t="inlineStr">
        <is>
          <t xml:space="preserve">M3</t>
        </is>
      </c>
      <c r="E81" s="5" t="inlineStr">
        <is>
          <t xml:space="preserve">SQS vs RabbitMQ vs Kafka: the actual differences. Kafka partitions, offsets, consumer groups, log compaction, ordering within a partition. When you would pick each</t>
        </is>
      </c>
      <c r="F81" s="5" t="inlineStr">
        <is>
          <t xml:space="preserve">DSA. A one-page comparison table you wrote yourself, then verified</t>
        </is>
      </c>
      <c r="G81" s="5" t="inlineStr">
        <is>
          <t xml:space="preserve">When you would pick Kafka over SQS, with a real reason</t>
        </is>
      </c>
      <c r="H81" s="14"/>
    </row>
    <row r="82" ht="42" customHeight="1">
      <c r="A82" s="12">
        <f>A81+1</f>
        <v>46338</v>
      </c>
      <c r="B82" s="13" t="inlineStr">
        <is>
          <t xml:space="preserve">Thu</t>
        </is>
      </c>
      <c r="C82" s="13">
        <v>12</v>
      </c>
      <c r="D82" s="13" t="inlineStr">
        <is>
          <t xml:space="preserve">M3</t>
        </is>
      </c>
      <c r="E82" s="5" t="inlineStr">
        <is>
          <t xml:space="preserve">SYSTEM DESIGN 1: URL shortener. All nine steps. Requirements, scale estimate, API, key generation (counter vs hash vs base62), DB choice, cache, redirect path, analytics</t>
        </is>
      </c>
      <c r="F82" s="5" t="inlineStr">
        <is>
          <t xml:space="preserve">45 minutes, timed, on paper or Excalidraw. Then compare against System Design Primer. + aptitude</t>
        </is>
      </c>
      <c r="G82" s="5" t="inlineStr">
        <is>
          <t xml:space="preserve">Your design, including three trade-offs you consciously made</t>
        </is>
      </c>
      <c r="H82" s="14"/>
    </row>
    <row r="83" ht="42" customHeight="1">
      <c r="A83" s="12">
        <f>A82+1</f>
        <v>46339</v>
      </c>
      <c r="B83" s="13" t="inlineStr">
        <is>
          <t xml:space="preserve">Fri</t>
        </is>
      </c>
      <c r="C83" s="13">
        <v>12</v>
      </c>
      <c r="D83" s="13" t="inlineStr">
        <is>
          <t xml:space="preserve">M3</t>
        </is>
      </c>
      <c r="E83" s="5" t="inlineStr">
        <is>
          <t xml:space="preserve">No new material. Weak List only. Explain the whole week aloud, recorded</t>
        </is>
      </c>
      <c r="F83" s="5" t="inlineStr">
        <is>
          <t xml:space="preserve">Re-solve every DSA problem you needed help with</t>
        </is>
      </c>
      <c r="G83" s="5" t="inlineStr">
        <is>
          <t xml:space="preserve">Everything from this week, cold, no notes</t>
        </is>
      </c>
      <c r="H83" s="14"/>
    </row>
    <row r="84" ht="42" customHeight="1">
      <c r="A84" s="12">
        <f>A83+1</f>
        <v>46340</v>
      </c>
      <c r="B84" s="13" t="inlineStr">
        <is>
          <t xml:space="preserve">Sat</t>
        </is>
      </c>
      <c r="C84" s="13">
        <v>12</v>
      </c>
      <c r="D84" s="13" t="inlineStr">
        <is>
          <t xml:space="preserve">M3</t>
        </is>
      </c>
      <c r="E84" s="5" t="inlineStr">
        <is>
          <t xml:space="preserve">SYSTEM DESIGN 2: rate limiter. Token bucket, leaky bucket, fixed window, sliding window log, sliding window counter. Distributed rate limiting with Redis</t>
        </is>
      </c>
      <c r="F84" s="5" t="inlineStr">
        <is>
          <t xml:space="preserve">45 min timed, then implement token bucket in C#</t>
        </is>
      </c>
      <c r="G84" s="5" t="inlineStr">
        <is>
          <t xml:space="preserve">Which algorithm you would choose and why, including the memory cost of each</t>
        </is>
      </c>
      <c r="H84" s="14"/>
    </row>
    <row r="85" ht="42" customHeight="1">
      <c r="A85" s="12">
        <f>A84+1</f>
        <v>46341</v>
      </c>
      <c r="B85" s="13" t="inlineStr">
        <is>
          <t xml:space="preserve">Sun</t>
        </is>
      </c>
      <c r="C85" s="13">
        <v>12</v>
      </c>
      <c r="D85" s="13" t="inlineStr">
        <is>
          <t xml:space="preserve">M3</t>
        </is>
      </c>
      <c r="E85" s="5" t="inlineStr">
        <is>
          <t xml:space="preserve">MONTH 3 CUMULATIVE TEST. SYSTEM DESIGN 3: notification service - email/SMS/push, fan-out, retries, user preferences, deduplication</t>
        </is>
      </c>
      <c r="F85" s="5" t="inlineStr">
        <is>
          <t xml:space="preserve">45 min timed. Then plan month 4</t>
        </is>
      </c>
      <c r="G85" s="5" t="inlineStr">
        <is>
          <t xml:space="preserve">Run the Month 3 checkpoint list honestly</t>
        </is>
      </c>
      <c r="H85" s="14"/>
    </row>
    <row r="86" ht="42" customHeight="1">
      <c r="A86" s="3">
        <f>A85+1</f>
        <v>46342</v>
      </c>
      <c r="B86" s="11" t="inlineStr">
        <is>
          <t xml:space="preserve">Mon</t>
        </is>
      </c>
      <c r="C86" s="11">
        <v>13</v>
      </c>
      <c r="D86" s="11" t="inlineStr">
        <is>
          <t xml:space="preserve">M4</t>
        </is>
      </c>
      <c r="E86" s="2" t="inlineStr">
        <is>
          <t xml:space="preserve">S and O. Single Responsibility - what "one reason to change" actually means. Open/Closed - extension without modification. Both with real violations</t>
        </is>
      </c>
      <c r="F86" s="2" t="inlineStr">
        <is>
          <t xml:space="preserve">DSA: backtracking. Find a real SRP violation in code YOU wrote. Refactor it</t>
        </is>
      </c>
      <c r="G86" s="2" t="inlineStr">
        <is>
          <t xml:space="preserve">SRP without reciting the definition - use your own example</t>
        </is>
      </c>
      <c r="H86" s="6"/>
    </row>
    <row r="87" ht="42" customHeight="1">
      <c r="A87" s="3">
        <f>A86+1</f>
        <v>46343</v>
      </c>
      <c r="B87" s="11" t="inlineStr">
        <is>
          <t xml:space="preserve">Tue</t>
        </is>
      </c>
      <c r="C87" s="11">
        <v>13</v>
      </c>
      <c r="D87" s="11" t="inlineStr">
        <is>
          <t xml:space="preserve">M4</t>
        </is>
      </c>
      <c r="E87" s="2" t="inlineStr">
        <is>
          <t xml:space="preserve">L, I and D. Liskov and the Rectangle/Square problem. Interface Segregation. Dependency Inversion, and how it differs from using a DI container</t>
        </is>
      </c>
      <c r="F87" s="2" t="inlineStr">
        <is>
          <t xml:space="preserve">DSA. Write a Liskov violation that compiles fine and breaks at runtime. + aptitude</t>
        </is>
      </c>
      <c r="G87" s="2" t="inlineStr">
        <is>
          <t xml:space="preserve">Why Dependency Inversion is not the same thing as using a DI container</t>
        </is>
      </c>
      <c r="H87" s="6"/>
    </row>
    <row r="88" ht="42" customHeight="1">
      <c r="A88" s="3">
        <f>A87+1</f>
        <v>46344</v>
      </c>
      <c r="B88" s="11" t="inlineStr">
        <is>
          <t xml:space="preserve">Wed</t>
        </is>
      </c>
      <c r="C88" s="11">
        <v>13</v>
      </c>
      <c r="D88" s="11" t="inlineStr">
        <is>
          <t xml:space="preserve">M4</t>
        </is>
      </c>
      <c r="E88" s="2" t="inlineStr">
        <is>
          <t xml:space="preserve">LLD 1: PARKING LOT. Requirements clarification, entities, class diagram, interfaces, edge cases (full lot, vehicle sizes, pricing strategies), then code the core in C#</t>
        </is>
      </c>
      <c r="F88" s="2" t="inlineStr">
        <is>
          <t xml:space="preserve">45 min timed, blank page to working classes</t>
        </is>
      </c>
      <c r="G88" s="2" t="inlineStr">
        <is>
          <t xml:space="preserve">Your class choices and one alternative you rejected</t>
        </is>
      </c>
      <c r="H88" s="6"/>
    </row>
    <row r="89" ht="42" customHeight="1">
      <c r="A89" s="3">
        <f>A88+1</f>
        <v>46345</v>
      </c>
      <c r="B89" s="11" t="inlineStr">
        <is>
          <t xml:space="preserve">Thu</t>
        </is>
      </c>
      <c r="C89" s="11">
        <v>13</v>
      </c>
      <c r="D89" s="11" t="inlineStr">
        <is>
          <t xml:space="preserve">M4</t>
        </is>
      </c>
      <c r="E89" s="2" t="inlineStr">
        <is>
          <t xml:space="preserve">LLD 2: LOGGER. Levels, sinks, formatters, async writing, thread safety, buffering, extension points. Then compare against Serilog's real architecture</t>
        </is>
      </c>
      <c r="F89" s="2" t="inlineStr">
        <is>
          <t xml:space="preserve">45 min timed, then read Serilog source. + aptitude</t>
        </is>
      </c>
      <c r="G89" s="2" t="inlineStr">
        <is>
          <t xml:space="preserve">Where your design differs from a real library, and why</t>
        </is>
      </c>
      <c r="H89" s="6"/>
    </row>
    <row r="90" ht="42" customHeight="1">
      <c r="A90" s="3">
        <f>A89+1</f>
        <v>46346</v>
      </c>
      <c r="B90" s="11" t="inlineStr">
        <is>
          <t xml:space="preserve">Fri</t>
        </is>
      </c>
      <c r="C90" s="11">
        <v>13</v>
      </c>
      <c r="D90" s="11" t="inlineStr">
        <is>
          <t xml:space="preserve">M4</t>
        </is>
      </c>
      <c r="E90" s="2" t="inlineStr">
        <is>
          <t xml:space="preserve">No new material. Weak List only. Explain the whole week aloud, recorded</t>
        </is>
      </c>
      <c r="F90" s="2" t="inlineStr">
        <is>
          <t xml:space="preserve">Re-solve every DSA problem you needed help with</t>
        </is>
      </c>
      <c r="G90" s="2" t="inlineStr">
        <is>
          <t xml:space="preserve">Everything from this week, cold, no notes</t>
        </is>
      </c>
      <c r="H90" s="6"/>
    </row>
    <row r="91" ht="42" customHeight="1">
      <c r="A91" s="3">
        <f>A90+1</f>
        <v>46347</v>
      </c>
      <c r="B91" s="11" t="inlineStr">
        <is>
          <t xml:space="preserve">Sat</t>
        </is>
      </c>
      <c r="C91" s="11">
        <v>13</v>
      </c>
      <c r="D91" s="11" t="inlineStr">
        <is>
          <t xml:space="preserve">M4</t>
        </is>
      </c>
      <c r="E91" s="2" t="inlineStr">
        <is>
          <t xml:space="preserve">DEEP: clean code and testability - why untestable code is usually badly designed code. Coupling and cohesion. LLD 3: ELEVATOR (multiple lifts, scheduling, state machine)</t>
        </is>
      </c>
      <c r="F91" s="2" t="inlineStr">
        <is>
          <t xml:space="preserve">45 min timed LLD + write tests for your parking lot</t>
        </is>
      </c>
      <c r="G91" s="2" t="inlineStr">
        <is>
          <t xml:space="preserve">How testability and good design are the same conversation</t>
        </is>
      </c>
      <c r="H91" s="6"/>
    </row>
    <row r="92" ht="42" customHeight="1">
      <c r="A92" s="3">
        <f>A91+1</f>
        <v>46348</v>
      </c>
      <c r="B92" s="11" t="inlineStr">
        <is>
          <t xml:space="preserve">Sun</t>
        </is>
      </c>
      <c r="C92" s="11">
        <v>13</v>
      </c>
      <c r="D92" s="11" t="inlineStr">
        <is>
          <t xml:space="preserve">M4</t>
        </is>
      </c>
      <c r="E92" s="2" t="inlineStr">
        <is>
          <t xml:space="preserve">WEEKLY TEST. Plan week 14</t>
        </is>
      </c>
      <c r="F92" s="2" t="inlineStr">
        <is>
          <t xml:space="preserve">2-min recording: Liskov with your own example</t>
        </is>
      </c>
      <c r="G92" s="2" t="inlineStr">
        <is>
          <t xml:space="preserve">3 things you forgot -&gt; Weak List</t>
        </is>
      </c>
      <c r="H92" s="6"/>
    </row>
    <row r="93" ht="42" customHeight="1">
      <c r="A93" s="12">
        <f>A92+1</f>
        <v>46349</v>
      </c>
      <c r="B93" s="13" t="inlineStr">
        <is>
          <t xml:space="preserve">Mon</t>
        </is>
      </c>
      <c r="C93" s="13">
        <v>14</v>
      </c>
      <c r="D93" s="13" t="inlineStr">
        <is>
          <t xml:space="preserve">M4</t>
        </is>
      </c>
      <c r="E93" s="5" t="inlineStr">
        <is>
          <t xml:space="preserve">Strategy and Factory (simple, factory method, abstract factory). Where each genuinely applies. Strategy vs a switch - when the switch is actually better</t>
        </is>
      </c>
      <c r="F93" s="5" t="inlineStr">
        <is>
          <t xml:space="preserve">DSA: DP. State definition is the whole skill. Refactor a real switch to Strategy, then judge honestly whether it improved</t>
        </is>
      </c>
      <c r="G93" s="5" t="inlineStr">
        <is>
          <t xml:space="preserve">When Strategy is over-engineering</t>
        </is>
      </c>
      <c r="H93" s="14"/>
    </row>
    <row r="94" ht="42" customHeight="1">
      <c r="A94" s="12">
        <f>A93+1</f>
        <v>46350</v>
      </c>
      <c r="B94" s="13" t="inlineStr">
        <is>
          <t xml:space="preserve">Tue</t>
        </is>
      </c>
      <c r="C94" s="13">
        <v>14</v>
      </c>
      <c r="D94" s="13" t="inlineStr">
        <is>
          <t xml:space="preserve">M4</t>
        </is>
      </c>
      <c r="E94" s="5" t="inlineStr">
        <is>
          <t xml:space="preserve">Observer and the .NET event model. IObservable/IObserver. Pub/sub as Observer at system scale. Memory leaks from unsubscribed handlers</t>
        </is>
      </c>
      <c r="F94" s="5" t="inlineStr">
        <is>
          <t xml:space="preserve">DSA. Write an Observer, leak memory with it, then fix the leak. + aptitude</t>
        </is>
      </c>
      <c r="G94" s="5" t="inlineStr">
        <is>
          <t xml:space="preserve">How event handlers cause memory leaks in .NET</t>
        </is>
      </c>
      <c r="H94" s="14"/>
    </row>
    <row r="95" ht="42" customHeight="1">
      <c r="A95" s="12">
        <f>A94+1</f>
        <v>46351</v>
      </c>
      <c r="B95" s="13" t="inlineStr">
        <is>
          <t xml:space="preserve">Wed</t>
        </is>
      </c>
      <c r="C95" s="13">
        <v>14</v>
      </c>
      <c r="D95" s="13" t="inlineStr">
        <is>
          <t xml:space="preserve">M4</t>
        </is>
      </c>
      <c r="E95" s="5" t="inlineStr">
        <is>
          <t xml:space="preserve">Adapter, Decorator, Facade, Proxy. Decorator vs inheritance. Middleware as a Decorator chain - connect back to month 2 week 6</t>
        </is>
      </c>
      <c r="F95" s="5" t="inlineStr">
        <is>
          <t xml:space="preserve">DSA. Implement a caching Decorator over a repository interface</t>
        </is>
      </c>
      <c r="G95" s="5" t="inlineStr">
        <is>
          <t xml:space="preserve">Why ASP.NET Core middleware is the Decorator pattern</t>
        </is>
      </c>
      <c r="H95" s="14"/>
    </row>
    <row r="96" ht="42" customHeight="1">
      <c r="A96" s="12">
        <f>A95+1</f>
        <v>46352</v>
      </c>
      <c r="B96" s="13" t="inlineStr">
        <is>
          <t xml:space="preserve">Thu</t>
        </is>
      </c>
      <c r="C96" s="13">
        <v>14</v>
      </c>
      <c r="D96" s="13" t="inlineStr">
        <is>
          <t xml:space="preserve">M4</t>
        </is>
      </c>
      <c r="E96" s="5" t="inlineStr">
        <is>
          <t xml:space="preserve">Builder, Singleton (and why it is usually a mistake), Repository and Unit of Work (and the argument that EF Core already is both). Anti-patterns: God object, anemic domain, service locator</t>
        </is>
      </c>
      <c r="F96" s="5" t="inlineStr">
        <is>
          <t xml:space="preserve">DSA. Write the argument FOR and AGAINST wrapping EF Core in a repository. + aptitude</t>
        </is>
      </c>
      <c r="G96" s="5" t="inlineStr">
        <is>
          <t xml:space="preserve">Why Singleton is considered an anti-pattern, and when it is still right</t>
        </is>
      </c>
      <c r="H96" s="14"/>
    </row>
    <row r="97" ht="42" customHeight="1">
      <c r="A97" s="12">
        <f>A96+1</f>
        <v>46353</v>
      </c>
      <c r="B97" s="13" t="inlineStr">
        <is>
          <t xml:space="preserve">Fri</t>
        </is>
      </c>
      <c r="C97" s="13">
        <v>14</v>
      </c>
      <c r="D97" s="13" t="inlineStr">
        <is>
          <t xml:space="preserve">M4</t>
        </is>
      </c>
      <c r="E97" s="5" t="inlineStr">
        <is>
          <t xml:space="preserve">No new material. Weak List only. Explain the whole week aloud, recorded</t>
        </is>
      </c>
      <c r="F97" s="5" t="inlineStr">
        <is>
          <t xml:space="preserve">Re-solve every DSA problem you needed help with</t>
        </is>
      </c>
      <c r="G97" s="5" t="inlineStr">
        <is>
          <t xml:space="preserve">Everything from this week, cold, no notes</t>
        </is>
      </c>
      <c r="H97" s="14"/>
    </row>
    <row r="98" ht="42" customHeight="1">
      <c r="A98" s="12">
        <f>A97+1</f>
        <v>46354</v>
      </c>
      <c r="B98" s="13" t="inlineStr">
        <is>
          <t xml:space="preserve">Sat</t>
        </is>
      </c>
      <c r="C98" s="13">
        <v>14</v>
      </c>
      <c r="D98" s="13" t="inlineStr">
        <is>
          <t xml:space="preserve">M4</t>
        </is>
      </c>
      <c r="E98" s="5" t="inlineStr">
        <is>
          <t xml:space="preserve">LLD 4: rate limiter as CLASSES (not as a system). Then LLD 5: Splitwise / expense sharing. Both timed</t>
        </is>
      </c>
      <c r="F98" s="5" t="inlineStr">
        <is>
          <t xml:space="preserve">Two 45-minute LLDs</t>
        </is>
      </c>
      <c r="G98" s="5" t="inlineStr">
        <is>
          <t xml:space="preserve">Both designs, and the trade-off you made in each</t>
        </is>
      </c>
      <c r="H98" s="14"/>
    </row>
    <row r="99" ht="42" customHeight="1">
      <c r="A99" s="12">
        <f>A98+1</f>
        <v>46355</v>
      </c>
      <c r="B99" s="13" t="inlineStr">
        <is>
          <t xml:space="preserve">Sun</t>
        </is>
      </c>
      <c r="C99" s="13">
        <v>14</v>
      </c>
      <c r="D99" s="13" t="inlineStr">
        <is>
          <t xml:space="preserve">M4</t>
        </is>
      </c>
      <c r="E99" s="5" t="inlineStr">
        <is>
          <t xml:space="preserve">WEEKLY TEST. Plan week 15</t>
        </is>
      </c>
      <c r="F99" s="5" t="inlineStr">
        <is>
          <t xml:space="preserve">2-min recording: Decorator vs inheritance</t>
        </is>
      </c>
      <c r="G99" s="5" t="inlineStr">
        <is>
          <t xml:space="preserve">3 things you forgot -&gt; Weak List</t>
        </is>
      </c>
      <c r="H99" s="14"/>
    </row>
    <row r="100" ht="42" customHeight="1">
      <c r="A100" s="3">
        <f>A99+1</f>
        <v>46356</v>
      </c>
      <c r="B100" s="11" t="inlineStr">
        <is>
          <t xml:space="preserve">Mon</t>
        </is>
      </c>
      <c r="C100" s="11">
        <v>15</v>
      </c>
      <c r="D100" s="11" t="inlineStr">
        <is>
          <t xml:space="preserve">M4</t>
        </is>
      </c>
      <c r="E100" s="2" t="inlineStr">
        <is>
          <t xml:space="preserve">Consensus. Why distributed agreement is hard. Two-phase commit and why it blocks. Raft conceptually: leader election, log replication, terms, commit index</t>
        </is>
      </c>
      <c r="F100" s="2" t="inlineStr">
        <is>
          <t xml:space="preserve">DSA: mixed, 12 problems this week, 3+ with no IDE. Watch a Raft visualisation, then explain leader election from memory</t>
        </is>
      </c>
      <c r="G100" s="2" t="inlineStr">
        <is>
          <t xml:space="preserve">Why 2PC is avoided in modern systems</t>
        </is>
      </c>
      <c r="H100" s="6"/>
    </row>
    <row r="101" ht="42" customHeight="1">
      <c r="A101" s="3">
        <f>A100+1</f>
        <v>46357</v>
      </c>
      <c r="B101" s="11" t="inlineStr">
        <is>
          <t xml:space="preserve">Tue</t>
        </is>
      </c>
      <c r="C101" s="11">
        <v>15</v>
      </c>
      <c r="D101" s="11" t="inlineStr">
        <is>
          <t xml:space="preserve">M4</t>
        </is>
      </c>
      <c r="E101" s="2" t="inlineStr">
        <is>
          <t xml:space="preserve">Distributed locks and why they are dangerous. Redis locking, the fencing token problem, lease expiry and clock skew. Read Kleppmann on Redlock</t>
        </is>
      </c>
      <c r="F101" s="2" t="inlineStr">
        <is>
          <t xml:space="preserve">DSA. Write the failure scenario where a distributed lock silently allows two holders. + aptitude</t>
        </is>
      </c>
      <c r="G101" s="2" t="inlineStr">
        <is>
          <t xml:space="preserve">Why a distributed lock cannot be made safe with timeouts alone</t>
        </is>
      </c>
      <c r="H101" s="6"/>
    </row>
    <row r="102" ht="42" customHeight="1">
      <c r="A102" s="3">
        <f>A101+1</f>
        <v>46358</v>
      </c>
      <c r="B102" s="11" t="inlineStr">
        <is>
          <t xml:space="preserve">Wed</t>
        </is>
      </c>
      <c r="C102" s="11">
        <v>15</v>
      </c>
      <c r="D102" s="11" t="inlineStr">
        <is>
          <t xml:space="preserve">M4</t>
        </is>
      </c>
      <c r="E102" s="2" t="inlineStr">
        <is>
          <t xml:space="preserve">Transactional outbox and saga. The dual-write problem. Choreography vs orchestration. Compensating transactions. Idempotent consumers. Exactly-once PROCESSING via dedup tables</t>
        </is>
      </c>
      <c r="F102" s="2" t="inlineStr">
        <is>
          <t xml:space="preserve">DSA. Design the outbox for your project. Draw the failure modes</t>
        </is>
      </c>
      <c r="G102" s="2" t="inlineStr">
        <is>
          <t xml:space="preserve">The dual-write problem and how outbox solves it</t>
        </is>
      </c>
      <c r="H102" s="6"/>
    </row>
    <row r="103" ht="42" customHeight="1">
      <c r="A103" s="3">
        <f>A102+1</f>
        <v>46359</v>
      </c>
      <c r="B103" s="11" t="inlineStr">
        <is>
          <t xml:space="preserve">Thu</t>
        </is>
      </c>
      <c r="C103" s="11">
        <v>15</v>
      </c>
      <c r="D103" s="11" t="inlineStr">
        <is>
          <t xml:space="preserve">M4</t>
        </is>
      </c>
      <c r="E103" s="2" t="inlineStr">
        <is>
          <t xml:space="preserve">Resilience: circuit breaker (closed/open/half-open), bulkhead, timeout, retry budget, graceful degradation, load shedding. Polly. Observability: RED and USE, tracing, correlation IDs, SLI/SLO</t>
        </is>
      </c>
      <c r="F103" s="2" t="inlineStr">
        <is>
          <t xml:space="preserve">DSA. Add Polly circuit breaker and correlation IDs to your month 2 API. + aptitude</t>
        </is>
      </c>
      <c r="G103" s="2" t="inlineStr">
        <is>
          <t xml:space="preserve">Why retries without a circuit breaker can amplify an outage</t>
        </is>
      </c>
      <c r="H103" s="6"/>
    </row>
    <row r="104" ht="42" customHeight="1">
      <c r="A104" s="3">
        <f>A103+1</f>
        <v>46360</v>
      </c>
      <c r="B104" s="11" t="inlineStr">
        <is>
          <t xml:space="preserve">Fri</t>
        </is>
      </c>
      <c r="C104" s="11">
        <v>15</v>
      </c>
      <c r="D104" s="11" t="inlineStr">
        <is>
          <t xml:space="preserve">M4</t>
        </is>
      </c>
      <c r="E104" s="2" t="inlineStr">
        <is>
          <t xml:space="preserve">No new material. Weak List only. Explain the whole week aloud, recorded</t>
        </is>
      </c>
      <c r="F104" s="2" t="inlineStr">
        <is>
          <t xml:space="preserve">Re-solve every DSA problem you needed help with</t>
        </is>
      </c>
      <c r="G104" s="2" t="inlineStr">
        <is>
          <t xml:space="preserve">Everything from this week, cold, no notes</t>
        </is>
      </c>
      <c r="H104" s="6"/>
    </row>
    <row r="105" ht="42" customHeight="1">
      <c r="A105" s="3">
        <f>A104+1</f>
        <v>46361</v>
      </c>
      <c r="B105" s="11" t="inlineStr">
        <is>
          <t xml:space="preserve">Sat</t>
        </is>
      </c>
      <c r="C105" s="11">
        <v>15</v>
      </c>
      <c r="D105" s="11" t="inlineStr">
        <is>
          <t xml:space="preserve">M4</t>
        </is>
      </c>
      <c r="E105" s="2" t="inlineStr">
        <is>
          <t xml:space="preserve">SYSTEM DESIGN 4: distributed job processing system. This is YOUR OWN PROJECT, designed properly before you build it. Requirements, scale, API, schema, queue, worker model, failures</t>
        </is>
      </c>
      <c r="F105" s="2" t="inlineStr">
        <is>
          <t xml:space="preserve">45 min timed. This output becomes your implementation plan. Read Doc 10 now</t>
        </is>
      </c>
      <c r="G105" s="2" t="inlineStr">
        <is>
          <t xml:space="preserve">Your project's architecture and its trade-offs</t>
        </is>
      </c>
      <c r="H105" s="6"/>
    </row>
    <row r="106" ht="42" customHeight="1">
      <c r="A106" s="3">
        <f>A105+1</f>
        <v>46362</v>
      </c>
      <c r="B106" s="11" t="inlineStr">
        <is>
          <t xml:space="preserve">Sun</t>
        </is>
      </c>
      <c r="C106" s="11">
        <v>15</v>
      </c>
      <c r="D106" s="11" t="inlineStr">
        <is>
          <t xml:space="preserve">M4</t>
        </is>
      </c>
      <c r="E106" s="2" t="inlineStr">
        <is>
          <t xml:space="preserve">WEEKLY TEST. SYSTEM DESIGN 5: file storage (Dropbox) - chunking, dedup, sync, metadata service</t>
        </is>
      </c>
      <c r="F106" s="2" t="inlineStr">
        <is>
          <t xml:space="preserve">45 min timed. Plan week 16</t>
        </is>
      </c>
      <c r="G106" s="2" t="inlineStr">
        <is>
          <t xml:space="preserve">3 things you forgot -&gt; Weak List</t>
        </is>
      </c>
      <c r="H106" s="6"/>
    </row>
    <row r="107" ht="42" customHeight="1">
      <c r="A107" s="12">
        <f>A106+1</f>
        <v>46363</v>
      </c>
      <c r="B107" s="13" t="inlineStr">
        <is>
          <t xml:space="preserve">Mon</t>
        </is>
      </c>
      <c r="C107" s="13">
        <v>16</v>
      </c>
      <c r="D107" s="13" t="inlineStr">
        <is>
          <t xml:space="preserve">M4</t>
        </is>
      </c>
      <c r="E107" s="5" t="inlineStr">
        <is>
          <t xml:space="preserve">PROJECT: solution structure, API project, worker project, shared contracts. Docker Compose with Postgres and Redis</t>
        </is>
      </c>
      <c r="F107" s="5" t="inlineStr">
        <is>
          <t xml:space="preserve">DSA: mixed 12 + re-solve every Weak List problem. Repo initialised, compose up works</t>
        </is>
      </c>
      <c r="G107" s="5" t="inlineStr">
        <is>
          <t xml:space="preserve">Your project layout and why you split it that way</t>
        </is>
      </c>
      <c r="H107" s="14"/>
    </row>
    <row r="108" ht="42" customHeight="1">
      <c r="A108" s="12">
        <f>A107+1</f>
        <v>46364</v>
      </c>
      <c r="B108" s="13" t="inlineStr">
        <is>
          <t xml:space="preserve">Tue</t>
        </is>
      </c>
      <c r="C108" s="13">
        <v>16</v>
      </c>
      <c r="D108" s="13" t="inlineStr">
        <is>
          <t xml:space="preserve">M4</t>
        </is>
      </c>
      <c r="E108" s="5" t="inlineStr">
        <is>
          <t xml:space="preserve">PROJECT: job submission endpoint, validation, job entity, EF Core schema, migrations. Job states and the state machine</t>
        </is>
      </c>
      <c r="F108" s="5" t="inlineStr">
        <is>
          <t xml:space="preserve">DSA. POST /jobs persists a job with status Pending. + aptitude</t>
        </is>
      </c>
      <c r="G108" s="5" t="inlineStr">
        <is>
          <t xml:space="preserve">Your job state machine and its illegal transitions</t>
        </is>
      </c>
      <c r="H108" s="14"/>
    </row>
    <row r="109" ht="42" customHeight="1">
      <c r="A109" s="12">
        <f>A108+1</f>
        <v>46365</v>
      </c>
      <c r="B109" s="13" t="inlineStr">
        <is>
          <t xml:space="preserve">Wed</t>
        </is>
      </c>
      <c r="C109" s="13">
        <v>16</v>
      </c>
      <c r="D109" s="13" t="inlineStr">
        <is>
          <t xml:space="preserve">M4</t>
        </is>
      </c>
      <c r="E109" s="5" t="inlineStr">
        <is>
          <t xml:space="preserve">PROJECT: enqueue on submit, worker consumes, status transitions Running then Completed. Job status endpoint</t>
        </is>
      </c>
      <c r="F109" s="5" t="inlineStr">
        <is>
          <t xml:space="preserve">DSA. End to end: submit, watch it process, query status</t>
        </is>
      </c>
      <c r="G109" s="5" t="inlineStr">
        <is>
          <t xml:space="preserve">Why the queue is not just an in-memory list</t>
        </is>
      </c>
      <c r="H109" s="14"/>
    </row>
    <row r="110" ht="42" customHeight="1">
      <c r="A110" s="12">
        <f>A109+1</f>
        <v>46366</v>
      </c>
      <c r="B110" s="13" t="inlineStr">
        <is>
          <t xml:space="preserve">Thu</t>
        </is>
      </c>
      <c r="C110" s="13">
        <v>16</v>
      </c>
      <c r="D110" s="13" t="inlineStr">
        <is>
          <t xml:space="preserve">M4</t>
        </is>
      </c>
      <c r="E110" s="5" t="inlineStr">
        <is>
          <t xml:space="preserve">PROJECT: structured logging with Serilog, correlation IDs flowing from API through the queue to the worker, health check endpoints</t>
        </is>
      </c>
      <c r="F110" s="5" t="inlineStr">
        <is>
          <t xml:space="preserve">DSA. Trace one job end to end using ONLY your logs. + aptitude</t>
        </is>
      </c>
      <c r="G110" s="5" t="inlineStr">
        <is>
          <t xml:space="preserve">How you would debug a stuck job in production</t>
        </is>
      </c>
      <c r="H110" s="14"/>
    </row>
    <row r="111" ht="42" customHeight="1">
      <c r="A111" s="12">
        <f>A110+1</f>
        <v>46367</v>
      </c>
      <c r="B111" s="13" t="inlineStr">
        <is>
          <t xml:space="preserve">Fri</t>
        </is>
      </c>
      <c r="C111" s="13">
        <v>16</v>
      </c>
      <c r="D111" s="13" t="inlineStr">
        <is>
          <t xml:space="preserve">M4</t>
        </is>
      </c>
      <c r="E111" s="5" t="inlineStr">
        <is>
          <t xml:space="preserve">No new material. Weak List only. Explain the whole week aloud, recorded</t>
        </is>
      </c>
      <c r="F111" s="5" t="inlineStr">
        <is>
          <t xml:space="preserve">Re-solve every DSA problem you needed help with</t>
        </is>
      </c>
      <c r="G111" s="5" t="inlineStr">
        <is>
          <t xml:space="preserve">Everything from this week, cold, no notes</t>
        </is>
      </c>
      <c r="H111" s="14"/>
    </row>
    <row r="112" ht="42" customHeight="1">
      <c r="A112" s="12">
        <f>A111+1</f>
        <v>46368</v>
      </c>
      <c r="B112" s="13" t="inlineStr">
        <is>
          <t xml:space="preserve">Sat</t>
        </is>
      </c>
      <c r="C112" s="13">
        <v>16</v>
      </c>
      <c r="D112" s="13" t="inlineStr">
        <is>
          <t xml:space="preserve">M4</t>
        </is>
      </c>
      <c r="E112" s="5" t="inlineStr">
        <is>
          <t xml:space="preserve">PROJECT: write the README - architecture diagram, design decisions, trade-offs. Written from the start, not bolted on at the end</t>
        </is>
      </c>
      <c r="F112" s="5" t="inlineStr">
        <is>
          <t xml:space="preserve">README with an Excalidraw diagram committed</t>
        </is>
      </c>
      <c r="G112" s="5" t="inlineStr">
        <is>
          <t xml:space="preserve">Your design decisions, in writing</t>
        </is>
      </c>
      <c r="H112" s="14"/>
    </row>
    <row r="113" ht="42" customHeight="1">
      <c r="A113" s="12">
        <f>A112+1</f>
        <v>46369</v>
      </c>
      <c r="B113" s="13" t="inlineStr">
        <is>
          <t xml:space="preserve">Sun</t>
        </is>
      </c>
      <c r="C113" s="13">
        <v>16</v>
      </c>
      <c r="D113" s="13" t="inlineStr">
        <is>
          <t xml:space="preserve">M4</t>
        </is>
      </c>
      <c r="E113" s="5" t="inlineStr">
        <is>
          <t xml:space="preserve">MONTH 4 CUMULATIVE TEST. Plan month 5</t>
        </is>
      </c>
      <c r="F113" s="5" t="inlineStr">
        <is>
          <t xml:space="preserve">5-minute recorded project walkthrough</t>
        </is>
      </c>
      <c r="G113" s="5" t="inlineStr">
        <is>
          <t xml:space="preserve">Your project, out loud, to a stranger. Run the Month 4 checkpoint</t>
        </is>
      </c>
      <c r="H113" s="14"/>
    </row>
    <row r="114" ht="42" customHeight="1">
      <c r="A114" s="3">
        <f>A113+1</f>
        <v>46370</v>
      </c>
      <c r="B114" s="11" t="inlineStr">
        <is>
          <t xml:space="preserve">Mon</t>
        </is>
      </c>
      <c r="C114" s="11">
        <v>17</v>
      </c>
      <c r="D114" s="11" t="inlineStr">
        <is>
          <t xml:space="preserve">M5</t>
        </is>
      </c>
      <c r="E114" s="2" t="inlineStr">
        <is>
          <t xml:space="preserve">Retries with exponential backoff and jitter. Retry budgets, max attempts, distinguishing transient from permanent failures</t>
        </is>
      </c>
      <c r="F114" s="2" t="inlineStr">
        <is>
          <t xml:space="preserve">DSA: DP part 2. Retry policy implemented with configurable backoff. Prove jitter spreads the load</t>
        </is>
      </c>
      <c r="G114" s="2" t="inlineStr">
        <is>
          <t xml:space="preserve">Why jitter matters, with the thundering-herd scenario</t>
        </is>
      </c>
      <c r="H114" s="6"/>
    </row>
    <row r="115" ht="42" customHeight="1">
      <c r="A115" s="3">
        <f>A114+1</f>
        <v>46371</v>
      </c>
      <c r="B115" s="11" t="inlineStr">
        <is>
          <t xml:space="preserve">Tue</t>
        </is>
      </c>
      <c r="C115" s="11">
        <v>17</v>
      </c>
      <c r="D115" s="11" t="inlineStr">
        <is>
          <t xml:space="preserve">M5</t>
        </is>
      </c>
      <c r="E115" s="2" t="inlineStr">
        <is>
          <t xml:space="preserve">Dead letter queue. Poison message detection, DLQ inspection endpoint, replay from DLQ, alerting on DLQ depth</t>
        </is>
      </c>
      <c r="F115" s="2" t="inlineStr">
        <is>
          <t xml:space="preserve">DSA. Kill a job deliberately, watch it reach the DLQ after N attempts, then replay it. + aptitude</t>
        </is>
      </c>
      <c r="G115" s="2" t="inlineStr">
        <is>
          <t xml:space="preserve">What you do operationally when the DLQ starts filling</t>
        </is>
      </c>
      <c r="H115" s="6"/>
    </row>
    <row r="116" ht="42" customHeight="1">
      <c r="A116" s="3">
        <f>A115+1</f>
        <v>46372</v>
      </c>
      <c r="B116" s="11" t="inlineStr">
        <is>
          <t xml:space="preserve">Wed</t>
        </is>
      </c>
      <c r="C116" s="11">
        <v>17</v>
      </c>
      <c r="D116" s="11" t="inlineStr">
        <is>
          <t xml:space="preserve">M5</t>
        </is>
      </c>
      <c r="E116" s="2" t="inlineStr">
        <is>
          <t xml:space="preserve">Idempotency. Idempotency keys on submission, dedup table, idempotent workers, handling duplicate delivery from the queue</t>
        </is>
      </c>
      <c r="F116" s="2" t="inlineStr">
        <is>
          <t xml:space="preserve">DSA. Deliver the same message twice on purpose. PROVE the job executes once</t>
        </is>
      </c>
      <c r="G116" s="2" t="inlineStr">
        <is>
          <t xml:space="preserve">Why at-least-once delivery makes idempotency mandatory, not optional</t>
        </is>
      </c>
      <c r="H116" s="6"/>
    </row>
    <row r="117" ht="42" customHeight="1">
      <c r="A117" s="3">
        <f>A116+1</f>
        <v>46373</v>
      </c>
      <c r="B117" s="11" t="inlineStr">
        <is>
          <t xml:space="preserve">Thu</t>
        </is>
      </c>
      <c r="C117" s="11">
        <v>17</v>
      </c>
      <c r="D117" s="11" t="inlineStr">
        <is>
          <t xml:space="preserve">M5</t>
        </is>
      </c>
      <c r="E117" s="2" t="inlineStr">
        <is>
          <t xml:space="preserve">Job priority and concurrency control. Priority queues, per-tenant fairness, worker concurrency limits, preventing one tenant starving others</t>
        </is>
      </c>
      <c r="F117" s="2" t="inlineStr">
        <is>
          <t xml:space="preserve">DSA. Submit 100 low-priority and 5 high-priority jobs. Prove the ordering. + aptitude</t>
        </is>
      </c>
      <c r="G117" s="2" t="inlineStr">
        <is>
          <t xml:space="preserve">How you prevent a noisy tenant from starving everyone else</t>
        </is>
      </c>
      <c r="H117" s="6"/>
    </row>
    <row r="118" ht="42" customHeight="1">
      <c r="A118" s="3">
        <f>A117+1</f>
        <v>46374</v>
      </c>
      <c r="B118" s="11" t="inlineStr">
        <is>
          <t xml:space="preserve">Fri</t>
        </is>
      </c>
      <c r="C118" s="11">
        <v>17</v>
      </c>
      <c r="D118" s="11" t="inlineStr">
        <is>
          <t xml:space="preserve">M5</t>
        </is>
      </c>
      <c r="E118" s="2" t="inlineStr">
        <is>
          <t xml:space="preserve">No new material. Weak List only. Explain the whole week aloud, recorded</t>
        </is>
      </c>
      <c r="F118" s="2" t="inlineStr">
        <is>
          <t xml:space="preserve">Re-solve every DSA problem you needed help with</t>
        </is>
      </c>
      <c r="G118" s="2" t="inlineStr">
        <is>
          <t xml:space="preserve">Everything from this week, cold, no notes</t>
        </is>
      </c>
      <c r="H118" s="6"/>
    </row>
    <row r="119" ht="42" customHeight="1">
      <c r="A119" s="3">
        <f>A118+1</f>
        <v>46375</v>
      </c>
      <c r="B119" s="11" t="inlineStr">
        <is>
          <t xml:space="preserve">Sat</t>
        </is>
      </c>
      <c r="C119" s="11">
        <v>17</v>
      </c>
      <c r="D119" s="11" t="inlineStr">
        <is>
          <t xml:space="preserve">M5</t>
        </is>
      </c>
      <c r="E119" s="2" t="inlineStr">
        <is>
          <t xml:space="preserve">PROJECT: failure simulation. Kill a worker mid-job. Kill Postgres. Fill the queue. Introduce network delay. Document every behaviour observed</t>
        </is>
      </c>
      <c r="F119" s="2" t="inlineStr">
        <is>
          <t xml:space="preserve">A written failure-modes table in your README</t>
        </is>
      </c>
      <c r="G119" s="2" t="inlineStr">
        <is>
          <t xml:space="preserve">What happens to an in-flight job when its worker dies - and how you know</t>
        </is>
      </c>
      <c r="H119" s="6"/>
    </row>
    <row r="120" ht="42" customHeight="1">
      <c r="A120" s="3">
        <f>A119+1</f>
        <v>46376</v>
      </c>
      <c r="B120" s="11" t="inlineStr">
        <is>
          <t xml:space="preserve">Sun</t>
        </is>
      </c>
      <c r="C120" s="11">
        <v>17</v>
      </c>
      <c r="D120" s="11" t="inlineStr">
        <is>
          <t xml:space="preserve">M5</t>
        </is>
      </c>
      <c r="E120" s="2" t="inlineStr">
        <is>
          <t xml:space="preserve">WEEKLY TEST. BEHAVIOURAL: extract your first 5 STAR stories from the work journal</t>
        </is>
      </c>
      <c r="F120" s="2" t="inlineStr">
        <is>
          <t xml:space="preserve">5 written stories using the Doc 14 template</t>
        </is>
      </c>
      <c r="G120" s="2" t="inlineStr">
        <is>
          <t xml:space="preserve">Plan week 18</t>
        </is>
      </c>
      <c r="H120" s="6"/>
    </row>
    <row r="121" ht="42" customHeight="1">
      <c r="A121" s="12">
        <f>A120+1</f>
        <v>46377</v>
      </c>
      <c r="B121" s="13" t="inlineStr">
        <is>
          <t xml:space="preserve">Mon</t>
        </is>
      </c>
      <c r="C121" s="13">
        <v>18</v>
      </c>
      <c r="D121" s="13" t="inlineStr">
        <is>
          <t xml:space="preserve">M5</t>
        </is>
      </c>
      <c r="E121" s="5" t="inlineStr">
        <is>
          <t xml:space="preserve">Redis in the project: caching job status reads, cache-aside with correct invalidation, TTL strategy. Measure the hit rate</t>
        </is>
      </c>
      <c r="F121" s="5" t="inlineStr">
        <is>
          <t xml:space="preserve">DSA: 12 mixed, all timed at 25 min, 4+ with no IDE. Cache added, hit rate measured</t>
        </is>
      </c>
      <c r="G121" s="5" t="inlineStr">
        <is>
          <t xml:space="preserve">Your cache invalidation strategy and its failure mode</t>
        </is>
      </c>
      <c r="H121" s="14"/>
    </row>
    <row r="122" ht="42" customHeight="1">
      <c r="A122" s="12">
        <f>A121+1</f>
        <v>46378</v>
      </c>
      <c r="B122" s="13" t="inlineStr">
        <is>
          <t xml:space="preserve">Tue</t>
        </is>
      </c>
      <c r="C122" s="13">
        <v>18</v>
      </c>
      <c r="D122" s="13" t="inlineStr">
        <is>
          <t xml:space="preserve">M5</t>
        </is>
      </c>
      <c r="E122" s="5" t="inlineStr">
        <is>
          <t xml:space="preserve">Rate limiting: per-API-key token bucket in Redis, 429 with Retry-After, distributed correctness across multiple API instances</t>
        </is>
      </c>
      <c r="F122" s="5" t="inlineStr">
        <is>
          <t xml:space="preserve">DSA. Rate limiter working across 2+ API replicas. + aptitude</t>
        </is>
      </c>
      <c r="G122" s="5" t="inlineStr">
        <is>
          <t xml:space="preserve">Why a naive per-instance rate limiter is wrong when you scale out</t>
        </is>
      </c>
      <c r="H122" s="14"/>
    </row>
    <row r="123" ht="42" customHeight="1">
      <c r="A123" s="12">
        <f>A122+1</f>
        <v>46379</v>
      </c>
      <c r="B123" s="13" t="inlineStr">
        <is>
          <t xml:space="preserve">Wed</t>
        </is>
      </c>
      <c r="C123" s="13">
        <v>18</v>
      </c>
      <c r="D123" s="13" t="inlineStr">
        <is>
          <t xml:space="preserve">M5</t>
        </is>
      </c>
      <c r="E123" s="5" t="inlineStr">
        <is>
          <t xml:space="preserve">Authentication and authorisation: API keys or JWT, per-tenant isolation, ensuring tenant A cannot read tenant B jobs. Secrets handling - never in source</t>
        </is>
      </c>
      <c r="F123" s="5" t="inlineStr">
        <is>
          <t xml:space="preserve">DSA. Auth enforced. Write a test that PROVES cross-tenant access fails</t>
        </is>
      </c>
      <c r="G123" s="5" t="inlineStr">
        <is>
          <t xml:space="preserve">Your tenant isolation model and how you tested it</t>
        </is>
      </c>
      <c r="H123" s="14"/>
    </row>
    <row r="124" ht="42" customHeight="1">
      <c r="A124" s="12">
        <f>A123+1</f>
        <v>46380</v>
      </c>
      <c r="B124" s="13" t="inlineStr">
        <is>
          <t xml:space="preserve">Thu</t>
        </is>
      </c>
      <c r="C124" s="13">
        <v>18</v>
      </c>
      <c r="D124" s="13" t="inlineStr">
        <is>
          <t xml:space="preserve">M5</t>
        </is>
      </c>
      <c r="E124" s="5" t="inlineStr">
        <is>
          <t xml:space="preserve">Metrics and observability: Prometheus metrics (submitted, completed, failed, queue depth, duration histogram), Grafana dashboard, liveness vs readiness</t>
        </is>
      </c>
      <c r="F124" s="5" t="inlineStr">
        <is>
          <t xml:space="preserve">DSA. A dashboard you can screenshot for your README. + aptitude</t>
        </is>
      </c>
      <c r="G124" s="5" t="inlineStr">
        <is>
          <t xml:space="preserve">Liveness vs readiness, and why it matters to a load balancer</t>
        </is>
      </c>
      <c r="H124" s="14"/>
    </row>
    <row r="125" ht="42" customHeight="1">
      <c r="A125" s="12">
        <f>A124+1</f>
        <v>46381</v>
      </c>
      <c r="B125" s="13" t="inlineStr">
        <is>
          <t xml:space="preserve">Fri</t>
        </is>
      </c>
      <c r="C125" s="13">
        <v>18</v>
      </c>
      <c r="D125" s="13" t="inlineStr">
        <is>
          <t xml:space="preserve">M5</t>
        </is>
      </c>
      <c r="E125" s="5" t="inlineStr">
        <is>
          <t xml:space="preserve">No new material. Weak List only. Explain the whole week aloud, recorded</t>
        </is>
      </c>
      <c r="F125" s="5" t="inlineStr">
        <is>
          <t xml:space="preserve">Re-solve every DSA problem you needed help with</t>
        </is>
      </c>
      <c r="G125" s="5" t="inlineStr">
        <is>
          <t xml:space="preserve">Everything from this week, cold, no notes</t>
        </is>
      </c>
      <c r="H125" s="14"/>
    </row>
    <row r="126" ht="42" customHeight="1">
      <c r="A126" s="12">
        <f>A125+1</f>
        <v>46382</v>
      </c>
      <c r="B126" s="13" t="inlineStr">
        <is>
          <t xml:space="preserve">Sat</t>
        </is>
      </c>
      <c r="C126" s="13">
        <v>18</v>
      </c>
      <c r="D126" s="13" t="inlineStr">
        <is>
          <t xml:space="preserve">M5</t>
        </is>
      </c>
      <c r="E126" s="5" t="inlineStr">
        <is>
          <t xml:space="preserve">PROJECT: integration tests with Testcontainers against real Postgres and Redis. Test the idempotency and retry paths specifically</t>
        </is>
      </c>
      <c r="F126" s="5" t="inlineStr">
        <is>
          <t xml:space="preserve">A test suite that runs in CI</t>
        </is>
      </c>
      <c r="G126" s="5" t="inlineStr">
        <is>
          <t xml:space="preserve">Why you test against real Postgres rather than an in-memory provider</t>
        </is>
      </c>
      <c r="H126" s="14"/>
    </row>
    <row r="127" ht="42" customHeight="1">
      <c r="A127" s="12">
        <f>A126+1</f>
        <v>46383</v>
      </c>
      <c r="B127" s="13" t="inlineStr">
        <is>
          <t xml:space="preserve">Sun</t>
        </is>
      </c>
      <c r="C127" s="13">
        <v>18</v>
      </c>
      <c r="D127" s="13" t="inlineStr">
        <is>
          <t xml:space="preserve">M5</t>
        </is>
      </c>
      <c r="E127" s="5" t="inlineStr">
        <is>
          <t xml:space="preserve">WEEKLY TEST. BEHAVIOURAL: 5 more STAR stories (10 total)</t>
        </is>
      </c>
      <c r="F127" s="5" t="inlineStr">
        <is>
          <t xml:space="preserve">2-min recording: your rate limiter design</t>
        </is>
      </c>
      <c r="G127" s="5" t="inlineStr">
        <is>
          <t xml:space="preserve">Plan week 19</t>
        </is>
      </c>
      <c r="H127" s="14"/>
    </row>
    <row r="128" ht="42" customHeight="1">
      <c r="A128" s="3">
        <f>A127+1</f>
        <v>46384</v>
      </c>
      <c r="B128" s="11" t="inlineStr">
        <is>
          <t xml:space="preserve">Mon</t>
        </is>
      </c>
      <c r="C128" s="11">
        <v>19</v>
      </c>
      <c r="D128" s="11" t="inlineStr">
        <is>
          <t xml:space="preserve">M5</t>
        </is>
      </c>
      <c r="E128" s="2" t="inlineStr">
        <is>
          <t xml:space="preserve">Docker: multi-stage builds for API and worker, image size optimisation, non-root user, .dockerignore, health checks in the image</t>
        </is>
      </c>
      <c r="F128" s="2" t="inlineStr">
        <is>
          <t xml:space="preserve">DSA. Both images build and run. Report sizes before and after optimisation</t>
        </is>
      </c>
      <c r="G128" s="2" t="inlineStr">
        <is>
          <t xml:space="preserve">Why multi-stage builds matter, with your own before/after numbers</t>
        </is>
      </c>
      <c r="H128" s="6"/>
    </row>
    <row r="129" ht="42" customHeight="1">
      <c r="A129" s="3">
        <f>A128+1</f>
        <v>46385</v>
      </c>
      <c r="B129" s="11" t="inlineStr">
        <is>
          <t xml:space="preserve">Tue</t>
        </is>
      </c>
      <c r="C129" s="11">
        <v>19</v>
      </c>
      <c r="D129" s="11" t="inlineStr">
        <is>
          <t xml:space="preserve">M5</t>
        </is>
      </c>
      <c r="E129" s="2" t="inlineStr">
        <is>
          <t xml:space="preserve">CI/CD with GitHub Actions: build, test, lint on every PR. Matrix builds. Caching. Branch protection. Then the CD half - build and push images on merge</t>
        </is>
      </c>
      <c r="F129" s="2" t="inlineStr">
        <is>
          <t xml:space="preserve">DSA. A green pipeline on a real PR. + aptitude</t>
        </is>
      </c>
      <c r="G129" s="2" t="inlineStr">
        <is>
          <t xml:space="preserve">Your pipeline stages and what each one protects against</t>
        </is>
      </c>
      <c r="H129" s="6"/>
    </row>
    <row r="130" ht="42" customHeight="1">
      <c r="A130" s="3">
        <f>A129+1</f>
        <v>46386</v>
      </c>
      <c r="B130" s="11" t="inlineStr">
        <is>
          <t xml:space="preserve">Wed</t>
        </is>
      </c>
      <c r="C130" s="11">
        <v>19</v>
      </c>
      <c r="D130" s="11" t="inlineStr">
        <is>
          <t xml:space="preserve">M5</t>
        </is>
      </c>
      <c r="E130" s="2" t="inlineStr">
        <is>
          <t xml:space="preserve">AWS deployment: ECS or EC2, RDS Postgres, ElastiCache Redis, SQS as the real queue, IAM least privilege, BILLING ALARM SET ON DAY ONE</t>
        </is>
      </c>
      <c r="F130" s="2" t="inlineStr">
        <is>
          <t xml:space="preserve">DSA. Deployed and reachable</t>
        </is>
      </c>
      <c r="G130" s="2" t="inlineStr">
        <is>
          <t xml:space="preserve">Your deployment topology, drawn</t>
        </is>
      </c>
      <c r="H130" s="6"/>
    </row>
    <row r="131" ht="42" customHeight="1">
      <c r="A131" s="3">
        <f>A130+1</f>
        <v>46387</v>
      </c>
      <c r="B131" s="11" t="inlineStr">
        <is>
          <t xml:space="preserve">Thu</t>
        </is>
      </c>
      <c r="C131" s="11">
        <v>19</v>
      </c>
      <c r="D131" s="11" t="inlineStr">
        <is>
          <t xml:space="preserve">M5</t>
        </is>
      </c>
      <c r="E131" s="2" t="inlineStr">
        <is>
          <t xml:space="preserve">Load testing with k6: baseline, ramp, sustained, spike. Measure p50/p95/p99 and throughput. Find the breaking point, then explain WHY it broke</t>
        </is>
      </c>
      <c r="F131" s="2" t="inlineStr">
        <is>
          <t xml:space="preserve">DSA. A results table with real numbers. + aptitude</t>
        </is>
      </c>
      <c r="G131" s="2" t="inlineStr">
        <is>
          <t xml:space="preserve">Your bottleneck, identified and evidenced - not guessed</t>
        </is>
      </c>
      <c r="H131" s="6"/>
    </row>
    <row r="132" ht="42" customHeight="1">
      <c r="A132" s="3">
        <f>A131+1</f>
        <v>46388</v>
      </c>
      <c r="B132" s="11" t="inlineStr">
        <is>
          <t xml:space="preserve">Fri</t>
        </is>
      </c>
      <c r="C132" s="11">
        <v>19</v>
      </c>
      <c r="D132" s="11" t="inlineStr">
        <is>
          <t xml:space="preserve">M5</t>
        </is>
      </c>
      <c r="E132" s="2" t="inlineStr">
        <is>
          <t xml:space="preserve">No new material. Weak List only. Explain the whole week aloud, recorded</t>
        </is>
      </c>
      <c r="F132" s="2" t="inlineStr">
        <is>
          <t xml:space="preserve">Re-solve every DSA problem you needed help with</t>
        </is>
      </c>
      <c r="G132" s="2" t="inlineStr">
        <is>
          <t xml:space="preserve">Everything from this week, cold, no notes</t>
        </is>
      </c>
      <c r="H132" s="6"/>
    </row>
    <row r="133" ht="42" customHeight="1">
      <c r="A133" s="3">
        <f>A132+1</f>
        <v>46389</v>
      </c>
      <c r="B133" s="11" t="inlineStr">
        <is>
          <t xml:space="preserve">Sat</t>
        </is>
      </c>
      <c r="C133" s="11">
        <v>19</v>
      </c>
      <c r="D133" s="11" t="inlineStr">
        <is>
          <t xml:space="preserve">M5</t>
        </is>
      </c>
      <c r="E133" s="2" t="inlineStr">
        <is>
          <t xml:space="preserve">PROJECT: the performance and architecture report. Numbers, graphs, bottleneck analysis, what you would do next. Then scale workers and re-measure to prove horizontal scaling</t>
        </is>
      </c>
      <c r="F133" s="2" t="inlineStr">
        <is>
          <t xml:space="preserve">A written report committed to the repo</t>
        </is>
      </c>
      <c r="G133" s="2" t="inlineStr">
        <is>
          <t xml:space="preserve">Your project's scaling characteristics, with evidence</t>
        </is>
      </c>
      <c r="H133" s="6"/>
    </row>
    <row r="134" ht="42" customHeight="1">
      <c r="A134" s="3">
        <f>A133+1</f>
        <v>46390</v>
      </c>
      <c r="B134" s="11" t="inlineStr">
        <is>
          <t xml:space="preserve">Sun</t>
        </is>
      </c>
      <c r="C134" s="11">
        <v>19</v>
      </c>
      <c r="D134" s="11" t="inlineStr">
        <is>
          <t xml:space="preserve">M5</t>
        </is>
      </c>
      <c r="E134" s="2" t="inlineStr">
        <is>
          <t xml:space="preserve">WEEKLY TEST. BEHAVIOURAL: 5 more stories (15 total)</t>
        </is>
      </c>
      <c r="F134" s="2" t="inlineStr">
        <is>
          <t xml:space="preserve">Final README polish: diagrams, decisions, trade-offs, how to run it</t>
        </is>
      </c>
      <c r="G134" s="2" t="inlineStr">
        <is>
          <t xml:space="preserve">Plan week 20</t>
        </is>
      </c>
      <c r="H134" s="6"/>
    </row>
    <row r="135" ht="42" customHeight="1">
      <c r="A135" s="12">
        <f>A134+1</f>
        <v>46391</v>
      </c>
      <c r="B135" s="13" t="inlineStr">
        <is>
          <t xml:space="preserve">Mon</t>
        </is>
      </c>
      <c r="C135" s="13">
        <v>20</v>
      </c>
      <c r="D135" s="13" t="inlineStr">
        <is>
          <t xml:space="preserve">M5</t>
        </is>
      </c>
      <c r="E135" s="5" t="inlineStr">
        <is>
          <t xml:space="preserve">SYSTEM DESIGN 6: news feed (Twitter/Instagram). Fan-out on write vs on read, the celebrity problem, feed ranking, cursor pagination</t>
        </is>
      </c>
      <c r="F135" s="5" t="inlineStr">
        <is>
          <t xml:space="preserve">DSA: 12 mixed. 45 min timed design</t>
        </is>
      </c>
      <c r="G135" s="5" t="inlineStr">
        <is>
          <t xml:space="preserve">Why neither pure fan-out strategy works at scale</t>
        </is>
      </c>
      <c r="H135" s="14"/>
    </row>
    <row r="136" ht="42" customHeight="1">
      <c r="A136" s="12">
        <f>A135+1</f>
        <v>46392</v>
      </c>
      <c r="B136" s="13" t="inlineStr">
        <is>
          <t xml:space="preserve">Tue</t>
        </is>
      </c>
      <c r="C136" s="13">
        <v>20</v>
      </c>
      <c r="D136" s="13" t="inlineStr">
        <is>
          <t xml:space="preserve">M5</t>
        </is>
      </c>
      <c r="E136" s="5" t="inlineStr">
        <is>
          <t xml:space="preserve">SYSTEM DESIGN 7: ecommerce order processing. Inventory reservation, saga across services, payment integration, eventual consistency in a money context</t>
        </is>
      </c>
      <c r="F136" s="5" t="inlineStr">
        <is>
          <t xml:space="preserve">DSA. 45 min timed. + aptitude</t>
        </is>
      </c>
      <c r="G136" s="5" t="inlineStr">
        <is>
          <t xml:space="preserve">How you avoid overselling inventory without a distributed transaction</t>
        </is>
      </c>
      <c r="H136" s="14"/>
    </row>
    <row r="137" ht="42" customHeight="1">
      <c r="A137" s="12">
        <f>A136+1</f>
        <v>46393</v>
      </c>
      <c r="B137" s="13" t="inlineStr">
        <is>
          <t xml:space="preserve">Wed</t>
        </is>
      </c>
      <c r="C137" s="13">
        <v>20</v>
      </c>
      <c r="D137" s="13" t="inlineStr">
        <is>
          <t xml:space="preserve">M5</t>
        </is>
      </c>
      <c r="E137" s="5" t="inlineStr">
        <is>
          <t xml:space="preserve">SYSTEM DESIGN 8: payment workflow. Idempotency of charges, reconciliation, webhook handling, retries against a third party, PCI boundary. Use your Stripe/PayPal/CCAvenue work</t>
        </is>
      </c>
      <c r="F137" s="5" t="inlineStr">
        <is>
          <t xml:space="preserve">DSA. 45 min timed</t>
        </is>
      </c>
      <c r="G137" s="5" t="inlineStr">
        <is>
          <t xml:space="preserve">Why payment systems are idempotency-obsessed</t>
        </is>
      </c>
      <c r="H137" s="14"/>
    </row>
    <row r="138" ht="42" customHeight="1">
      <c r="A138" s="12">
        <f>A137+1</f>
        <v>46394</v>
      </c>
      <c r="B138" s="13" t="inlineStr">
        <is>
          <t xml:space="preserve">Thu</t>
        </is>
      </c>
      <c r="C138" s="13">
        <v>20</v>
      </c>
      <c r="D138" s="13" t="inlineStr">
        <is>
          <t xml:space="preserve">M5</t>
        </is>
      </c>
      <c r="E138" s="5" t="inlineStr">
        <is>
          <t xml:space="preserve">SYSTEM DESIGN 9: chat system (WhatsApp). Connection management, delivery and ordering, read receipts, offline delivery, group fan-out. Use your SignalR and FCM work</t>
        </is>
      </c>
      <c r="F138" s="5" t="inlineStr">
        <is>
          <t xml:space="preserve">DSA. 45 min timed. + aptitude</t>
        </is>
      </c>
      <c r="G138" s="5" t="inlineStr">
        <is>
          <t xml:space="preserve">How you deliver a message to a device that is offline</t>
        </is>
      </c>
      <c r="H138" s="14"/>
    </row>
    <row r="139" ht="42" customHeight="1">
      <c r="A139" s="12">
        <f>A138+1</f>
        <v>46395</v>
      </c>
      <c r="B139" s="13" t="inlineStr">
        <is>
          <t xml:space="preserve">Fri</t>
        </is>
      </c>
      <c r="C139" s="13">
        <v>20</v>
      </c>
      <c r="D139" s="13" t="inlineStr">
        <is>
          <t xml:space="preserve">M5</t>
        </is>
      </c>
      <c r="E139" s="5" t="inlineStr">
        <is>
          <t xml:space="preserve">No new material. Weak List only. Explain the whole week aloud, recorded</t>
        </is>
      </c>
      <c r="F139" s="5" t="inlineStr">
        <is>
          <t xml:space="preserve">Re-solve every DSA problem you needed help with</t>
        </is>
      </c>
      <c r="G139" s="5" t="inlineStr">
        <is>
          <t xml:space="preserve">Everything from this week, cold, no notes</t>
        </is>
      </c>
      <c r="H139" s="14"/>
    </row>
    <row r="140" ht="42" customHeight="1">
      <c r="A140" s="12">
        <f>A139+1</f>
        <v>46396</v>
      </c>
      <c r="B140" s="13" t="inlineStr">
        <is>
          <t xml:space="preserve">Sat</t>
        </is>
      </c>
      <c r="C140" s="13">
        <v>20</v>
      </c>
      <c r="D140" s="13" t="inlineStr">
        <is>
          <t xml:space="preserve">M5</t>
        </is>
      </c>
      <c r="E140" s="5" t="inlineStr">
        <is>
          <t xml:space="preserve">BEHAVIOURAL INTENSIVE. Final 5 stories (20 total). Map every story to multiple LPs in the STORIES tab. Find real stories for any empty LP - manufacture nothing</t>
        </is>
      </c>
      <c r="F140" s="5" t="inlineStr">
        <is>
          <t xml:space="preserve">Complete story matrix, no empty columns</t>
        </is>
      </c>
      <c r="G140" s="5" t="inlineStr">
        <is>
          <t xml:space="preserve">Every story in under 3 minutes, Action-heavy</t>
        </is>
      </c>
      <c r="H140" s="14"/>
    </row>
    <row r="141" ht="42" customHeight="1">
      <c r="A141" s="12">
        <f>A140+1</f>
        <v>46397</v>
      </c>
      <c r="B141" s="13" t="inlineStr">
        <is>
          <t xml:space="preserve">Sun</t>
        </is>
      </c>
      <c r="C141" s="13">
        <v>20</v>
      </c>
      <c r="D141" s="13" t="inlineStr">
        <is>
          <t xml:space="preserve">M5</t>
        </is>
      </c>
      <c r="E141" s="5" t="inlineStr">
        <is>
          <t xml:space="preserve">MONTH 5 CUMULATIVE TEST. Rehearse all 20 stories aloud, recorded. Resume update. Read Doc 14 Part 6 and plan the application sequence</t>
        </is>
      </c>
      <c r="F141" s="5" t="inlineStr">
        <is>
          <t xml:space="preserve">Recordings of all 20 stories. Resume in 3 regional variants</t>
        </is>
      </c>
      <c r="G141" s="5" t="inlineStr">
        <is>
          <t xml:space="preserve">RUN THE MONTH 5 CHECKPOINT. Do not apply until it is genuinely passed</t>
        </is>
      </c>
      <c r="H141" s="14"/>
    </row>
    <row r="142" ht="42" customHeight="1">
      <c r="A142" s="3">
        <f>A141+1</f>
        <v>46398</v>
      </c>
      <c r="B142" s="11" t="inlineStr">
        <is>
          <t xml:space="preserve">Mon</t>
        </is>
      </c>
      <c r="C142" s="11">
        <v>21</v>
      </c>
      <c r="D142" s="11" t="inlineStr">
        <is>
          <t xml:space="preserve">M6</t>
        </is>
      </c>
      <c r="E142" s="2" t="inlineStr">
        <is>
          <t xml:space="preserve">Resume final polish. Rewrite bullets as impact + metric + technology. Add the project with its numbers. Build the 3 regional variants from Doc 14 Part 6</t>
        </is>
      </c>
      <c r="F142" s="2" t="inlineStr">
        <is>
          <t xml:space="preserve">Timed DSA 2x25 min, narrated in English</t>
        </is>
      </c>
      <c r="G142" s="2" t="inlineStr">
        <is>
          <t xml:space="preserve">A resume you would not change again</t>
        </is>
      </c>
      <c r="H142" s="6"/>
    </row>
    <row r="143" ht="42" customHeight="1">
      <c r="A143" s="3">
        <f>A142+1</f>
        <v>46399</v>
      </c>
      <c r="B143" s="11" t="inlineStr">
        <is>
          <t xml:space="preserve">Tue</t>
        </is>
      </c>
      <c r="C143" s="11">
        <v>21</v>
      </c>
      <c r="D143" s="11" t="inlineStr">
        <is>
          <t xml:space="preserve">M6</t>
        </is>
      </c>
      <c r="E143" s="2" t="inlineStr">
        <is>
          <t xml:space="preserve">APPLY to 8-10 mid-tier companies (calibration only). Referral outreach: 10 LinkedIn messages</t>
        </is>
      </c>
      <c r="F143" s="2" t="inlineStr">
        <is>
          <t xml:space="preserve">Timed DSA. Applications submitted and tracked. + aptitude intensive</t>
        </is>
      </c>
      <c r="G143" s="2" t="inlineStr">
        <is>
          <t xml:space="preserve">A live pipeline</t>
        </is>
      </c>
      <c r="H143" s="6"/>
    </row>
    <row r="144" ht="42" customHeight="1">
      <c r="A144" s="3">
        <f>A143+1</f>
        <v>46400</v>
      </c>
      <c r="B144" s="11" t="inlineStr">
        <is>
          <t xml:space="preserve">Wed</t>
        </is>
      </c>
      <c r="C144" s="11">
        <v>21</v>
      </c>
      <c r="D144" s="11" t="inlineStr">
        <is>
          <t xml:space="preserve">M6</t>
        </is>
      </c>
      <c r="E144" s="2" t="inlineStr">
        <is>
          <t xml:space="preserve">SYSTEM DESIGN 10: web crawler - politeness, dedup, frontier, distributed workers</t>
        </is>
      </c>
      <c r="F144" s="2" t="inlineStr">
        <is>
          <t xml:space="preserve">Timed DSA + 45 min timed design</t>
        </is>
      </c>
      <c r="G144" s="2" t="inlineStr">
        <is>
          <t xml:space="preserve">Your crawler design and its bottleneck</t>
        </is>
      </c>
      <c r="H144" s="6"/>
    </row>
    <row r="145" ht="42" customHeight="1">
      <c r="A145" s="3">
        <f>A144+1</f>
        <v>46401</v>
      </c>
      <c r="B145" s="11" t="inlineStr">
        <is>
          <t xml:space="preserve">Thu</t>
        </is>
      </c>
      <c r="C145" s="11">
        <v>21</v>
      </c>
      <c r="D145" s="11" t="inlineStr">
        <is>
          <t xml:space="preserve">M6</t>
        </is>
      </c>
      <c r="E145" s="2" t="inlineStr">
        <is>
          <t xml:space="preserve">BEHAVIOURAL: rehearse 6 stories cold, in randomised order</t>
        </is>
      </c>
      <c r="F145" s="2" t="inlineStr">
        <is>
          <t xml:space="preserve">Timed DSA. Recordings. + aptitude intensive</t>
        </is>
      </c>
      <c r="G145" s="2" t="inlineStr">
        <is>
          <t xml:space="preserve">Stories under 3 minutes each</t>
        </is>
      </c>
      <c r="H145" s="6"/>
    </row>
    <row r="146" ht="42" customHeight="1">
      <c r="A146" s="3">
        <f>A145+1</f>
        <v>46402</v>
      </c>
      <c r="B146" s="11" t="inlineStr">
        <is>
          <t xml:space="preserve">Fri</t>
        </is>
      </c>
      <c r="C146" s="11">
        <v>21</v>
      </c>
      <c r="D146" s="11" t="inlineStr">
        <is>
          <t xml:space="preserve">M6</t>
        </is>
      </c>
      <c r="E146" s="2" t="inlineStr">
        <is>
          <t xml:space="preserve">Weak List repair only. Whatever is weakest gets the whole session</t>
        </is>
      </c>
      <c r="F146" s="2" t="inlineStr">
        <is>
          <t xml:space="preserve">Any real interviews this week get analysed in writing in the INTERVIEWS tab</t>
        </is>
      </c>
      <c r="G146" s="2" t="inlineStr">
        <is>
          <t xml:space="preserve">A shorter Weak List</t>
        </is>
      </c>
      <c r="H146" s="6"/>
    </row>
    <row r="147" ht="42" customHeight="1">
      <c r="A147" s="3">
        <f>A146+1</f>
        <v>46403</v>
      </c>
      <c r="B147" s="11" t="inlineStr">
        <is>
          <t xml:space="preserve">Sat</t>
        </is>
      </c>
      <c r="C147" s="11">
        <v>21</v>
      </c>
      <c r="D147" s="11" t="inlineStr">
        <is>
          <t xml:space="preserve">M6</t>
        </is>
      </c>
      <c r="E147" s="2" t="inlineStr">
        <is>
          <t xml:space="preserve">FULL MOCK LOOP, self-administered: 2 DSA (25 min each) + 1 system design (45 min) + 3 behavioural, back to back, no breaks</t>
        </is>
      </c>
      <c r="F147" s="2" t="inlineStr">
        <is>
          <t xml:space="preserve">Recorded. Then watch it back once</t>
        </is>
      </c>
      <c r="G147" s="2" t="inlineStr">
        <is>
          <t xml:space="preserve">An honest self-assessment</t>
        </is>
      </c>
      <c r="H147" s="6"/>
    </row>
    <row r="148" ht="42" customHeight="1">
      <c r="A148" s="3">
        <f>A147+1</f>
        <v>46404</v>
      </c>
      <c r="B148" s="11" t="inlineStr">
        <is>
          <t xml:space="preserve">Sun</t>
        </is>
      </c>
      <c r="C148" s="11">
        <v>21</v>
      </c>
      <c r="D148" s="11" t="inlineStr">
        <is>
          <t xml:space="preserve">M6</t>
        </is>
      </c>
      <c r="E148" s="2" t="inlineStr">
        <is>
          <t xml:space="preserve">WEEKLY TEST. Review the mock. Identify the 3 biggest gaps and schedule them</t>
        </is>
      </c>
      <c r="F148" s="2" t="inlineStr">
        <is>
          <t xml:space="preserve">Gap list with dates</t>
        </is>
      </c>
      <c r="G148" s="2" t="inlineStr">
        <is>
          <t xml:space="preserve">Plan week 22</t>
        </is>
      </c>
      <c r="H148" s="6"/>
    </row>
    <row r="149" ht="42" customHeight="1">
      <c r="A149" s="12">
        <f>A148+1</f>
        <v>46405</v>
      </c>
      <c r="B149" s="13" t="inlineStr">
        <is>
          <t xml:space="preserve">Mon</t>
        </is>
      </c>
      <c r="C149" s="13">
        <v>22</v>
      </c>
      <c r="D149" s="13" t="inlineStr">
        <is>
          <t xml:space="preserve">M6</t>
        </is>
      </c>
      <c r="E149" s="5" t="inlineStr">
        <is>
          <t xml:space="preserve">SYSTEM DESIGN 11: video platform (YouTube) - upload, transcoding pipeline, CDN, recommendations at a high level</t>
        </is>
      </c>
      <c r="F149" s="5" t="inlineStr">
        <is>
          <t xml:space="preserve">Timed DSA + 45 min timed design</t>
        </is>
      </c>
      <c r="G149" s="5" t="inlineStr">
        <is>
          <t xml:space="preserve">Your transcoding pipeline and why it is queue-based</t>
        </is>
      </c>
      <c r="H149" s="14"/>
    </row>
    <row r="150" ht="42" customHeight="1">
      <c r="A150" s="12">
        <f>A149+1</f>
        <v>46406</v>
      </c>
      <c r="B150" s="13" t="inlineStr">
        <is>
          <t xml:space="preserve">Tue</t>
        </is>
      </c>
      <c r="C150" s="13">
        <v>22</v>
      </c>
      <c r="D150" s="13" t="inlineStr">
        <is>
          <t xml:space="preserve">M6</t>
        </is>
      </c>
      <c r="E150" s="5" t="inlineStr">
        <is>
          <t xml:space="preserve">LLD practice: design a task scheduler in C#, 45 minutes</t>
        </is>
      </c>
      <c r="F150" s="5" t="inlineStr">
        <is>
          <t xml:space="preserve">Timed DSA. Working classes. + aptitude intensive</t>
        </is>
      </c>
      <c r="G150" s="5" t="inlineStr">
        <is>
          <t xml:space="preserve">Your scheduler design</t>
        </is>
      </c>
      <c r="H150" s="14"/>
    </row>
    <row r="151" ht="42" customHeight="1">
      <c r="A151" s="12">
        <f>A150+1</f>
        <v>46407</v>
      </c>
      <c r="B151" s="13" t="inlineStr">
        <is>
          <t xml:space="preserve">Wed</t>
        </is>
      </c>
      <c r="C151" s="13">
        <v>22</v>
      </c>
      <c r="D151" s="13" t="inlineStr">
        <is>
          <t xml:space="preserve">M6</t>
        </is>
      </c>
      <c r="E151" s="5" t="inlineStr">
        <is>
          <t xml:space="preserve">SYSTEM DESIGN 12: typeahead / autocomplete - tries, ranking, caching, updates</t>
        </is>
      </c>
      <c r="F151" s="5" t="inlineStr">
        <is>
          <t xml:space="preserve">Timed DSA + 45 min timed design</t>
        </is>
      </c>
      <c r="G151" s="5" t="inlineStr">
        <is>
          <t xml:space="preserve">Why a trie, and what it costs in memory</t>
        </is>
      </c>
      <c r="H151" s="14"/>
    </row>
    <row r="152" ht="42" customHeight="1">
      <c r="A152" s="12">
        <f>A151+1</f>
        <v>46408</v>
      </c>
      <c r="B152" s="13" t="inlineStr">
        <is>
          <t xml:space="preserve">Thu</t>
        </is>
      </c>
      <c r="C152" s="13">
        <v>22</v>
      </c>
      <c r="D152" s="13" t="inlineStr">
        <is>
          <t xml:space="preserve">M6</t>
        </is>
      </c>
      <c r="E152" s="5" t="inlineStr">
        <is>
          <t xml:space="preserve">BEHAVIOURAL: the hard ones. Failure, conflict, disagreement with a senior, a decision you got wrong</t>
        </is>
      </c>
      <c r="F152" s="5" t="inlineStr">
        <is>
          <t xml:space="preserve">Timed DSA. Recordings. + aptitude intensive</t>
        </is>
      </c>
      <c r="G152" s="5" t="inlineStr">
        <is>
          <t xml:space="preserve">The stories candidates avoid</t>
        </is>
      </c>
      <c r="H152" s="14"/>
    </row>
    <row r="153" ht="42" customHeight="1">
      <c r="A153" s="12">
        <f>A152+1</f>
        <v>46409</v>
      </c>
      <c r="B153" s="13" t="inlineStr">
        <is>
          <t xml:space="preserve">Fri</t>
        </is>
      </c>
      <c r="C153" s="13">
        <v>22</v>
      </c>
      <c r="D153" s="13" t="inlineStr">
        <is>
          <t xml:space="preserve">M6</t>
        </is>
      </c>
      <c r="E153" s="5" t="inlineStr">
        <is>
          <t xml:space="preserve">Weak List repair. Any real interviews analysed in writing</t>
        </is>
      </c>
      <c r="F153" s="5" t="inlineStr">
        <is>
          <t xml:space="preserve">Written analysis with a named ROOT CAUSE, not "it went badly"</t>
        </is>
      </c>
      <c r="G153" s="5" t="inlineStr">
        <is>
          <t xml:space="preserve">A repair action with a date on it</t>
        </is>
      </c>
      <c r="H153" s="14"/>
    </row>
    <row r="154" ht="42" customHeight="1">
      <c r="A154" s="12">
        <f>A153+1</f>
        <v>46410</v>
      </c>
      <c r="B154" s="13" t="inlineStr">
        <is>
          <t xml:space="preserve">Sat</t>
        </is>
      </c>
      <c r="C154" s="13">
        <v>22</v>
      </c>
      <c r="D154" s="13" t="inlineStr">
        <is>
          <t xml:space="preserve">M6</t>
        </is>
      </c>
      <c r="E154" s="5" t="inlineStr">
        <is>
          <t xml:space="preserve">Pramp mock 1 (DSA) + Pramp mock 2 (system design). Use your free credits deliberately</t>
        </is>
      </c>
      <c r="F154" s="5" t="inlineStr">
        <is>
          <t xml:space="preserve">Feedback captured in the INTERVIEWS tab</t>
        </is>
      </c>
      <c r="G154" s="5" t="inlineStr">
        <is>
          <t xml:space="preserve">Named weaknesses</t>
        </is>
      </c>
      <c r="H154" s="14"/>
    </row>
    <row r="155" ht="42" customHeight="1">
      <c r="A155" s="12">
        <f>A154+1</f>
        <v>46411</v>
      </c>
      <c r="B155" s="13" t="inlineStr">
        <is>
          <t xml:space="preserve">Sun</t>
        </is>
      </c>
      <c r="C155" s="13">
        <v>22</v>
      </c>
      <c r="D155" s="13" t="inlineStr">
        <is>
          <t xml:space="preserve">M6</t>
        </is>
      </c>
      <c r="E155" s="5" t="inlineStr">
        <is>
          <t xml:space="preserve">WEEKLY TEST. APPLY: Doc 14 section 3A (Canada), 3B (New Zealand), 3K (eDiscovery) - 12 to 15 applications, your highest-value week</t>
        </is>
      </c>
      <c r="F155" s="5" t="inlineStr">
        <is>
          <t xml:space="preserve">Applications out</t>
        </is>
      </c>
      <c r="G155" s="5" t="inlineStr">
        <is>
          <t xml:space="preserve">Plan week 23</t>
        </is>
      </c>
      <c r="H155" s="14"/>
    </row>
    <row r="156" ht="42" customHeight="1">
      <c r="A156" s="3">
        <f>A155+1</f>
        <v>46412</v>
      </c>
      <c r="B156" s="11" t="inlineStr">
        <is>
          <t xml:space="preserve">Mon</t>
        </is>
      </c>
      <c r="C156" s="11">
        <v>23</v>
      </c>
      <c r="D156" s="11" t="inlineStr">
        <is>
          <t xml:space="preserve">M6</t>
        </is>
      </c>
      <c r="E156" s="2" t="inlineStr">
        <is>
          <t xml:space="preserve">LP intensive 1. Re-read Amazon's own wording for all 16. Map your 20 stories to the matrix. Find LPs with thin coverage</t>
        </is>
      </c>
      <c r="F156" s="2" t="inlineStr">
        <is>
          <t xml:space="preserve">Complete matrix in the STORIES tab</t>
        </is>
      </c>
      <c r="G156" s="2" t="inlineStr">
        <is>
          <t xml:space="preserve">No LP with zero stories</t>
        </is>
      </c>
      <c r="H156" s="6"/>
    </row>
    <row r="157" ht="42" customHeight="1">
      <c r="A157" s="3">
        <f>A156+1</f>
        <v>46413</v>
      </c>
      <c r="B157" s="11" t="inlineStr">
        <is>
          <t xml:space="preserve">Tue</t>
        </is>
      </c>
      <c r="C157" s="11">
        <v>23</v>
      </c>
      <c r="D157" s="11" t="inlineStr">
        <is>
          <t xml:space="preserve">M6</t>
        </is>
      </c>
      <c r="E157" s="2" t="inlineStr">
        <is>
          <t xml:space="preserve">LP intensive 2. The six high-frequency LPs get two rehearsed stories each. Practise the probes: "what was the data?", "what would you do differently?", "what did YOU do?"</t>
        </is>
      </c>
      <c r="F157" s="2" t="inlineStr">
        <is>
          <t xml:space="preserve">Recordings. + aptitude maintenance</t>
        </is>
      </c>
      <c r="G157" s="2" t="inlineStr">
        <is>
          <t xml:space="preserve">Depth under probing, not just the first answer</t>
        </is>
      </c>
      <c r="H157" s="6"/>
    </row>
    <row r="158" ht="42" customHeight="1">
      <c r="A158" s="3">
        <f>A157+1</f>
        <v>46414</v>
      </c>
      <c r="B158" s="11" t="inlineStr">
        <is>
          <t xml:space="preserve">Wed</t>
        </is>
      </c>
      <c r="C158" s="11">
        <v>23</v>
      </c>
      <c r="D158" s="11" t="inlineStr">
        <is>
          <t xml:space="preserve">M6</t>
        </is>
      </c>
      <c r="E158" s="2" t="inlineStr">
        <is>
          <t xml:space="preserve">Amazon-style DSA: their tagged patterns lean to arrays, strings, hashing, trees, graphs, heaps. Timed set of 4</t>
        </is>
      </c>
      <c r="F158" s="2" t="inlineStr">
        <is>
          <t xml:space="preserve">4 problems timed</t>
        </is>
      </c>
      <c r="G158" s="2" t="inlineStr">
        <is>
          <t xml:space="preserve">Pattern recognised within 2 minutes</t>
        </is>
      </c>
      <c r="H158" s="6"/>
    </row>
    <row r="159" ht="42" customHeight="1">
      <c r="A159" s="3">
        <f>A158+1</f>
        <v>46415</v>
      </c>
      <c r="B159" s="11" t="inlineStr">
        <is>
          <t xml:space="preserve">Thu</t>
        </is>
      </c>
      <c r="C159" s="11">
        <v>23</v>
      </c>
      <c r="D159" s="11" t="inlineStr">
        <is>
          <t xml:space="preserve">M6</t>
        </is>
      </c>
      <c r="E159" s="2" t="inlineStr">
        <is>
          <t xml:space="preserve">Amazon LLD round prep. They ask you to CODE a design. Practise 2 timed LLDs with working C#</t>
        </is>
      </c>
      <c r="F159" s="2" t="inlineStr">
        <is>
          <t xml:space="preserve">2 LLDs</t>
        </is>
      </c>
      <c r="G159" s="2" t="inlineStr">
        <is>
          <t xml:space="preserve">Blank page to working classes in 45 minutes</t>
        </is>
      </c>
      <c r="H159" s="6"/>
    </row>
    <row r="160" ht="42" customHeight="1">
      <c r="A160" s="3">
        <f>A159+1</f>
        <v>46416</v>
      </c>
      <c r="B160" s="11" t="inlineStr">
        <is>
          <t xml:space="preserve">Fri</t>
        </is>
      </c>
      <c r="C160" s="11">
        <v>23</v>
      </c>
      <c r="D160" s="11" t="inlineStr">
        <is>
          <t xml:space="preserve">M6</t>
        </is>
      </c>
      <c r="E160" s="2" t="inlineStr">
        <is>
          <t xml:space="preserve">Amazon HLD. Design a package tracking system in 20 minutes (their OA format), then a full 45-minute version</t>
        </is>
      </c>
      <c r="F160" s="2" t="inlineStr">
        <is>
          <t xml:space="preserve">Both versions</t>
        </is>
      </c>
      <c r="G160" s="2" t="inlineStr">
        <is>
          <t xml:space="preserve">The 20-minute version - most candidates over-run</t>
        </is>
      </c>
      <c r="H160" s="6"/>
    </row>
    <row r="161" ht="42" customHeight="1">
      <c r="A161" s="3">
        <f>A160+1</f>
        <v>46417</v>
      </c>
      <c r="B161" s="11" t="inlineStr">
        <is>
          <t xml:space="preserve">Sat</t>
        </is>
      </c>
      <c r="C161" s="11">
        <v>23</v>
      </c>
      <c r="D161" s="11" t="inlineStr">
        <is>
          <t xml:space="preserve">M6</t>
        </is>
      </c>
      <c r="E161" s="2" t="inlineStr">
        <is>
          <t xml:space="preserve">FULL AMAZON-FORMAT MOCK: DSA + LLD + HLD + LP in one sitting. A long session by design</t>
        </is>
      </c>
      <c r="F161" s="2" t="inlineStr">
        <is>
          <t xml:space="preserve">Recorded</t>
        </is>
      </c>
      <c r="G161" s="2" t="inlineStr">
        <is>
          <t xml:space="preserve">Endurance tested. The Bar Raiser will push until you reach your limit - that is the design</t>
        </is>
      </c>
      <c r="H161" s="6"/>
    </row>
    <row r="162" ht="42" customHeight="1">
      <c r="A162" s="3">
        <f>A161+1</f>
        <v>46418</v>
      </c>
      <c r="B162" s="11" t="inlineStr">
        <is>
          <t xml:space="preserve">Sun</t>
        </is>
      </c>
      <c r="C162" s="11">
        <v>23</v>
      </c>
      <c r="D162" s="11" t="inlineStr">
        <is>
          <t xml:space="preserve">M6</t>
        </is>
      </c>
      <c r="E162" s="2" t="inlineStr">
        <is>
          <t xml:space="preserve">WEEKLY TEST. APPLY to Amazon (referral first if you have one), plus Australia, Ireland and Netherlands targets</t>
        </is>
      </c>
      <c r="F162" s="2" t="inlineStr">
        <is>
          <t xml:space="preserve">Application submitted</t>
        </is>
      </c>
      <c r="G162" s="2" t="inlineStr">
        <is>
          <t xml:space="preserve">Plan week 24</t>
        </is>
      </c>
      <c r="H162" s="6"/>
    </row>
    <row r="163" ht="42" customHeight="1">
      <c r="A163" s="12">
        <f>A162+1</f>
        <v>46419</v>
      </c>
      <c r="B163" s="13" t="inlineStr">
        <is>
          <t xml:space="preserve">Mon</t>
        </is>
      </c>
      <c r="C163" s="13">
        <v>24</v>
      </c>
      <c r="D163" s="13" t="inlineStr">
        <is>
          <t xml:space="preserve">M6</t>
        </is>
      </c>
      <c r="E163" s="5" t="inlineStr">
        <is>
          <t xml:space="preserve">Whiteboard conditions. ALL DSA this week in a plain text editor: no autocomplete, no compiler, no running the code. Google interviews this way</t>
        </is>
      </c>
      <c r="F163" s="5" t="inlineStr">
        <is>
          <t xml:space="preserve">4 problems, no IDE</t>
        </is>
      </c>
      <c r="G163" s="5" t="inlineStr">
        <is>
          <t xml:space="preserve">Comfort without tooling</t>
        </is>
      </c>
      <c r="H163" s="14"/>
    </row>
    <row r="164" ht="42" customHeight="1">
      <c r="A164" s="12">
        <f>A163+1</f>
        <v>46420</v>
      </c>
      <c r="B164" s="13" t="inlineStr">
        <is>
          <t xml:space="preserve">Tue</t>
        </is>
      </c>
      <c r="C164" s="13">
        <v>24</v>
      </c>
      <c r="D164" s="13" t="inlineStr">
        <is>
          <t xml:space="preserve">M6</t>
        </is>
      </c>
      <c r="E164" s="5" t="inlineStr">
        <is>
          <t xml:space="preserve">Google-style DSA: they lean to graphs, DP, recursion, and problems with strong follow-up variations. Practise "now make it work on a stream", "now it does not fit in memory"</t>
        </is>
      </c>
      <c r="F164" s="5" t="inlineStr">
        <is>
          <t xml:space="preserve">4 problems + variations, no IDE</t>
        </is>
      </c>
      <c r="G164" s="5" t="inlineStr">
        <is>
          <t xml:space="preserve">The follow-up, not just the first solution</t>
        </is>
      </c>
      <c r="H164" s="14"/>
    </row>
    <row r="165" ht="42" customHeight="1">
      <c r="A165" s="12">
        <f>A164+1</f>
        <v>46421</v>
      </c>
      <c r="B165" s="13" t="inlineStr">
        <is>
          <t xml:space="preserve">Wed</t>
        </is>
      </c>
      <c r="C165" s="13">
        <v>24</v>
      </c>
      <c r="D165" s="13" t="inlineStr">
        <is>
          <t xml:space="preserve">M6</t>
        </is>
      </c>
      <c r="E165" s="5" t="inlineStr">
        <is>
          <t xml:space="preserve">CODE COMPREHENSION prep. Take an unfamiliar open-source .NET repo. Read a subsystem for 45 min and explain aloud: what it does, how, what you would change, where the bugs might be</t>
        </is>
      </c>
      <c r="F165" s="5" t="inlineStr">
        <is>
          <t xml:space="preserve">Recorded explanation</t>
        </is>
      </c>
      <c r="G165" s="5" t="inlineStr">
        <is>
          <t xml:space="preserve">Readiness for Google's code-comprehension round - your legacy-platform experience is an advantage here</t>
        </is>
      </c>
      <c r="H165" s="14"/>
    </row>
    <row r="166" ht="42" customHeight="1">
      <c r="A166" s="12">
        <f>A165+1</f>
        <v>46422</v>
      </c>
      <c r="B166" s="13" t="inlineStr">
        <is>
          <t xml:space="preserve">Thu</t>
        </is>
      </c>
      <c r="C166" s="13">
        <v>24</v>
      </c>
      <c r="D166" s="13" t="inlineStr">
        <is>
          <t xml:space="preserve">M6</t>
        </is>
      </c>
      <c r="E166" s="5" t="inlineStr">
        <is>
          <t xml:space="preserve">SYSTEM DESIGN 13: Google Docs (collaborative editing, OT/CRDT conceptually) + 14: distributed cache (consistent hashing, eviction, replication)</t>
        </is>
      </c>
      <c r="F166" s="5" t="inlineStr">
        <is>
          <t xml:space="preserve">Two 45-min designs</t>
        </is>
      </c>
      <c r="G166" s="5" t="inlineStr">
        <is>
          <t xml:space="preserve">Both, with trade-offs stated</t>
        </is>
      </c>
      <c r="H166" s="14"/>
    </row>
    <row r="167" ht="42" customHeight="1">
      <c r="A167" s="12">
        <f>A166+1</f>
        <v>46423</v>
      </c>
      <c r="B167" s="13" t="inlineStr">
        <is>
          <t xml:space="preserve">Fri</t>
        </is>
      </c>
      <c r="C167" s="13">
        <v>24</v>
      </c>
      <c r="D167" s="13" t="inlineStr">
        <is>
          <t xml:space="preserve">M6</t>
        </is>
      </c>
      <c r="E167" s="5" t="inlineStr">
        <is>
          <t xml:space="preserve">Googliness prep. Collaboration, ambiguity, disagreement, receiving critical feedback, mentoring, what you do when you are wrong</t>
        </is>
      </c>
      <c r="F167" s="5" t="inlineStr">
        <is>
          <t xml:space="preserve">Recordings</t>
        </is>
      </c>
      <c r="G167" s="5" t="inlineStr">
        <is>
          <t xml:space="preserve">How you respond when an interviewer pushes back mid-answer</t>
        </is>
      </c>
      <c r="H167" s="14"/>
    </row>
    <row r="168" ht="42" customHeight="1">
      <c r="A168" s="12">
        <f>A167+1</f>
        <v>46424</v>
      </c>
      <c r="B168" s="13" t="inlineStr">
        <is>
          <t xml:space="preserve">Sat</t>
        </is>
      </c>
      <c r="C168" s="13">
        <v>24</v>
      </c>
      <c r="D168" s="13" t="inlineStr">
        <is>
          <t xml:space="preserve">M6</t>
        </is>
      </c>
      <c r="E168" s="5" t="inlineStr">
        <is>
          <t xml:space="preserve">FULL GOOGLE-FORMAT MOCK: 2 coding (no IDE) + 1 system design + 1 behavioural</t>
        </is>
      </c>
      <c r="F168" s="5" t="inlineStr">
        <is>
          <t xml:space="preserve">Recorded</t>
        </is>
      </c>
      <c r="G168" s="5" t="inlineStr">
        <is>
          <t xml:space="preserve">Narrated throughout, in English</t>
        </is>
      </c>
      <c r="H168" s="14"/>
    </row>
    <row r="169" ht="42" customHeight="1">
      <c r="A169" s="12">
        <f>A168+1</f>
        <v>46425</v>
      </c>
      <c r="B169" s="13" t="inlineStr">
        <is>
          <t xml:space="preserve">Sun</t>
        </is>
      </c>
      <c r="C169" s="13">
        <v>24</v>
      </c>
      <c r="D169" s="13" t="inlineStr">
        <is>
          <t xml:space="preserve">M6</t>
        </is>
      </c>
      <c r="E169" s="5" t="inlineStr">
        <is>
          <t xml:space="preserve">MONTH 6 CUMULATIVE TEST. APPLY to Google. Review the whole month honestly</t>
        </is>
      </c>
      <c r="F169" s="5" t="inlineStr">
        <is>
          <t xml:space="preserve">Application submitted</t>
        </is>
      </c>
      <c r="G169" s="5" t="inlineStr">
        <is>
          <t xml:space="preserve">RUN THE MONTH 6 CHECKPOINT. Plan month 7</t>
        </is>
      </c>
      <c r="H169" s="14"/>
    </row>
    <row r="170" ht="42" customHeight="1">
      <c r="A170" s="3">
        <f>A169+1</f>
        <v>46426</v>
      </c>
      <c r="B170" s="11" t="inlineStr">
        <is>
          <t xml:space="preserve">Mon</t>
        </is>
      </c>
      <c r="C170" s="11">
        <v>25</v>
      </c>
      <c r="D170" s="11" t="inlineStr">
        <is>
          <t xml:space="preserve">M7</t>
        </is>
      </c>
      <c r="E170" s="2" t="inlineStr">
        <is>
          <t xml:space="preserve">GAP REPAIR BLOCK. Take your interview analysis log. Rank gaps by frequency. Attack the top one for the full session</t>
        </is>
      </c>
      <c r="F170" s="2" t="inlineStr">
        <is>
          <t xml:space="preserve">Written proof you closed it</t>
        </is>
      </c>
      <c r="G170" s="2" t="inlineStr">
        <is>
          <t xml:space="preserve">One named gap, closed and verified</t>
        </is>
      </c>
      <c r="H170" s="6"/>
    </row>
    <row r="171" ht="42" customHeight="1">
      <c r="A171" s="3">
        <f>A170+1</f>
        <v>46427</v>
      </c>
      <c r="B171" s="11" t="inlineStr">
        <is>
          <t xml:space="preserve">Tue</t>
        </is>
      </c>
      <c r="C171" s="11">
        <v>25</v>
      </c>
      <c r="D171" s="11" t="inlineStr">
        <is>
          <t xml:space="preserve">M7</t>
        </is>
      </c>
      <c r="E171" s="2" t="inlineStr">
        <is>
          <t xml:space="preserve">Kafka in depth: partitions, offsets, consumer groups and rebalancing, ordering within a partition, log compaction, exactly-once semantics and transactions, replication and ISR</t>
        </is>
      </c>
      <c r="F171" s="2" t="inlineStr">
        <is>
          <t xml:space="preserve">Timed DSA. Compare against your SQS experience in writing</t>
        </is>
      </c>
      <c r="G171" s="2" t="inlineStr">
        <is>
          <t xml:space="preserve">When Kafka beats SQS, concretely</t>
        </is>
      </c>
      <c r="H171" s="6"/>
    </row>
    <row r="172" ht="42" customHeight="1">
      <c r="A172" s="3">
        <f>A171+1</f>
        <v>46428</v>
      </c>
      <c r="B172" s="11" t="inlineStr">
        <is>
          <t xml:space="preserve">Wed</t>
        </is>
      </c>
      <c r="C172" s="11">
        <v>25</v>
      </c>
      <c r="D172" s="11" t="inlineStr">
        <is>
          <t xml:space="preserve">M7</t>
        </is>
      </c>
      <c r="E172" s="2" t="inlineStr">
        <is>
          <t xml:space="preserve">SYSTEM DESIGN 15: ad click aggregation - stream processing, windowing, late events, approximate counting</t>
        </is>
      </c>
      <c r="F172" s="2" t="inlineStr">
        <is>
          <t xml:space="preserve">Timed DSA 2 medium + 45 min timed design</t>
        </is>
      </c>
      <c r="G172" s="2" t="inlineStr">
        <is>
          <t xml:space="preserve">Why counting at scale is hard</t>
        </is>
      </c>
      <c r="H172" s="6"/>
    </row>
    <row r="173" ht="42" customHeight="1">
      <c r="A173" s="3">
        <f>A172+1</f>
        <v>46429</v>
      </c>
      <c r="B173" s="11" t="inlineStr">
        <is>
          <t xml:space="preserve">Thu</t>
        </is>
      </c>
      <c r="C173" s="11">
        <v>25</v>
      </c>
      <c r="D173" s="11" t="inlineStr">
        <is>
          <t xml:space="preserve">M7</t>
        </is>
      </c>
      <c r="E173" s="2" t="inlineStr">
        <is>
          <t xml:space="preserve">Stream processing: event time vs processing time, watermarks, tumbling/sliding/session windows, exactly-once in streams, backfill and replay</t>
        </is>
      </c>
      <c r="F173" s="2" t="inlineStr">
        <is>
          <t xml:space="preserve">Notes in the six-question frame</t>
        </is>
      </c>
      <c r="G173" s="2" t="inlineStr">
        <is>
          <t xml:space="preserve">Why event time is harder than processing time</t>
        </is>
      </c>
      <c r="H173" s="6"/>
    </row>
    <row r="174" ht="42" customHeight="1">
      <c r="A174" s="3">
        <f>A173+1</f>
        <v>46430</v>
      </c>
      <c r="B174" s="11" t="inlineStr">
        <is>
          <t xml:space="preserve">Fri</t>
        </is>
      </c>
      <c r="C174" s="11">
        <v>25</v>
      </c>
      <c r="D174" s="11" t="inlineStr">
        <is>
          <t xml:space="preserve">M7</t>
        </is>
      </c>
      <c r="E174" s="2" t="inlineStr">
        <is>
          <t xml:space="preserve">Gap repair + Weak List</t>
        </is>
      </c>
      <c r="F174" s="2" t="inlineStr">
        <is>
          <t xml:space="preserve">Applications: 2-3 out this week without exception</t>
        </is>
      </c>
      <c r="G174" s="2" t="inlineStr">
        <is>
          <t xml:space="preserve">Pipeline still alive</t>
        </is>
      </c>
      <c r="H174" s="6"/>
    </row>
    <row r="175" ht="42" customHeight="1">
      <c r="A175" s="3">
        <f>A174+1</f>
        <v>46431</v>
      </c>
      <c r="B175" s="11" t="inlineStr">
        <is>
          <t xml:space="preserve">Sat</t>
        </is>
      </c>
      <c r="C175" s="11">
        <v>25</v>
      </c>
      <c r="D175" s="11" t="inlineStr">
        <is>
          <t xml:space="preserve">M7</t>
        </is>
      </c>
      <c r="E175" s="2" t="inlineStr">
        <is>
          <t xml:space="preserve">FULL MOCK LOOP (2 DSA + 1 design + 1 behavioural, back to back) + RAG project phase 1</t>
        </is>
      </c>
      <c r="F175" s="2" t="inlineStr">
        <is>
          <t xml:space="preserve">Recorded mock; RAG skeleton</t>
        </is>
      </c>
      <c r="G175" s="2" t="inlineStr">
        <is>
          <t xml:space="preserve">Endurance, not just correctness</t>
        </is>
      </c>
      <c r="H175" s="6"/>
    </row>
    <row r="176" ht="42" customHeight="1">
      <c r="A176" s="3">
        <f>A175+1</f>
        <v>46432</v>
      </c>
      <c r="B176" s="11" t="inlineStr">
        <is>
          <t xml:space="preserve">Sun</t>
        </is>
      </c>
      <c r="C176" s="11">
        <v>25</v>
      </c>
      <c r="D176" s="11" t="inlineStr">
        <is>
          <t xml:space="preserve">M7</t>
        </is>
      </c>
      <c r="E176" s="2" t="inlineStr">
        <is>
          <t xml:space="preserve">WEEKLY TEST. Interview analysis for the week. Applications out</t>
        </is>
      </c>
      <c r="F176" s="2" t="inlineStr">
        <is>
          <t xml:space="preserve">Every interview analysed within 24 hours</t>
        </is>
      </c>
      <c r="G176" s="2" t="inlineStr">
        <is>
          <t xml:space="preserve">Plan week 26</t>
        </is>
      </c>
      <c r="H176" s="6"/>
    </row>
    <row r="177" ht="42" customHeight="1">
      <c r="A177" s="12">
        <f>A176+1</f>
        <v>46433</v>
      </c>
      <c r="B177" s="13" t="inlineStr">
        <is>
          <t xml:space="preserve">Mon</t>
        </is>
      </c>
      <c r="C177" s="13">
        <v>26</v>
      </c>
      <c r="D177" s="13" t="inlineStr">
        <is>
          <t xml:space="preserve">M7</t>
        </is>
      </c>
      <c r="E177" s="5" t="inlineStr">
        <is>
          <t xml:space="preserve">GAP REPAIR BLOCK</t>
        </is>
      </c>
      <c r="F177" s="5" t="inlineStr">
        <is>
          <t xml:space="preserve">Rank by frequency, attack the top one</t>
        </is>
      </c>
      <c r="G177" s="5" t="inlineStr">
        <is>
          <t xml:space="preserve">One gap closed</t>
        </is>
      </c>
      <c r="H177" s="14"/>
    </row>
    <row r="178" ht="42" customHeight="1">
      <c r="A178" s="12">
        <f>A177+1</f>
        <v>46434</v>
      </c>
      <c r="B178" s="13" t="inlineStr">
        <is>
          <t xml:space="preserve">Tue</t>
        </is>
      </c>
      <c r="C178" s="13">
        <v>26</v>
      </c>
      <c r="D178" s="13" t="inlineStr">
        <is>
          <t xml:space="preserve">M7</t>
        </is>
      </c>
      <c r="E178" s="5" t="inlineStr">
        <is>
          <t xml:space="preserve">Advanced consistency: linearizability vs serializability (they are NOT the same), snapshot isolation, write skew, causal consistency, read-your-writes, monotonic reads</t>
        </is>
      </c>
      <c r="F178" s="5" t="inlineStr">
        <is>
          <t xml:space="preserve">Timed DSA. Write the distinction in your own words</t>
        </is>
      </c>
      <c r="G178" s="5" t="inlineStr">
        <is>
          <t xml:space="preserve">Linearizability vs serializability - a question that separates candidates</t>
        </is>
      </c>
      <c r="H178" s="14"/>
    </row>
    <row r="179" ht="42" customHeight="1">
      <c r="A179" s="12">
        <f>A178+1</f>
        <v>46435</v>
      </c>
      <c r="B179" s="13" t="inlineStr">
        <is>
          <t xml:space="preserve">Wed</t>
        </is>
      </c>
      <c r="C179" s="13">
        <v>26</v>
      </c>
      <c r="D179" s="13" t="inlineStr">
        <is>
          <t xml:space="preserve">M7</t>
        </is>
      </c>
      <c r="E179" s="5" t="inlineStr">
        <is>
          <t xml:space="preserve">SYSTEM DESIGN 16: metrics and monitoring system - time series storage, cardinality, downsampling, alerting</t>
        </is>
      </c>
      <c r="F179" s="5" t="inlineStr">
        <is>
          <t xml:space="preserve">Timed DSA + 45 min timed design</t>
        </is>
      </c>
      <c r="G179" s="5" t="inlineStr">
        <is>
          <t xml:space="preserve">Why high cardinality is the hard part</t>
        </is>
      </c>
      <c r="H179" s="14"/>
    </row>
    <row r="180" ht="42" customHeight="1">
      <c r="A180" s="12">
        <f>A179+1</f>
        <v>46436</v>
      </c>
      <c r="B180" s="13" t="inlineStr">
        <is>
          <t xml:space="preserve">Thu</t>
        </is>
      </c>
      <c r="C180" s="13">
        <v>26</v>
      </c>
      <c r="D180" s="13" t="inlineStr">
        <is>
          <t xml:space="preserve">M7</t>
        </is>
      </c>
      <c r="E180" s="5" t="inlineStr">
        <is>
          <t xml:space="preserve">Multi-region and disaster recovery: active-active vs active-passive, RPO/RTO, data residency, geo-routing, cross-region replication lag</t>
        </is>
      </c>
      <c r="F180" s="5" t="inlineStr">
        <is>
          <t xml:space="preserve">Notes. Applications out</t>
        </is>
      </c>
      <c r="G180" s="5" t="inlineStr">
        <is>
          <t xml:space="preserve">How you would make your job platform multi-region</t>
        </is>
      </c>
      <c r="H180" s="14"/>
    </row>
    <row r="181" ht="42" customHeight="1">
      <c r="A181" s="12">
        <f>A180+1</f>
        <v>46437</v>
      </c>
      <c r="B181" s="13" t="inlineStr">
        <is>
          <t xml:space="preserve">Fri</t>
        </is>
      </c>
      <c r="C181" s="13">
        <v>26</v>
      </c>
      <c r="D181" s="13" t="inlineStr">
        <is>
          <t xml:space="preserve">M7</t>
        </is>
      </c>
      <c r="E181" s="5" t="inlineStr">
        <is>
          <t xml:space="preserve">Gap repair + Weak List</t>
        </is>
      </c>
      <c r="F181" s="5" t="inlineStr">
        <is>
          <t xml:space="preserve">Re-record your weakest stories</t>
        </is>
      </c>
      <c r="G181" s="5" t="inlineStr">
        <is>
          <t xml:space="preserve">Weaknesses shrinking, not recurring</t>
        </is>
      </c>
      <c r="H181" s="14"/>
    </row>
    <row r="182" ht="42" customHeight="1">
      <c r="A182" s="12">
        <f>A181+1</f>
        <v>46438</v>
      </c>
      <c r="B182" s="13" t="inlineStr">
        <is>
          <t xml:space="preserve">Sat</t>
        </is>
      </c>
      <c r="C182" s="13">
        <v>26</v>
      </c>
      <c r="D182" s="13" t="inlineStr">
        <is>
          <t xml:space="preserve">M7</t>
        </is>
      </c>
      <c r="E182" s="5" t="inlineStr">
        <is>
          <t xml:space="preserve">FULL MOCK LOOP + RAG project phase 2</t>
        </is>
      </c>
      <c r="F182" s="5" t="inlineStr">
        <is>
          <t xml:space="preserve">Vector search working end to end</t>
        </is>
      </c>
      <c r="G182" s="5" t="inlineStr">
        <is>
          <t xml:space="preserve">Retrieval quality measured before you add generation</t>
        </is>
      </c>
      <c r="H182" s="14"/>
    </row>
    <row r="183" ht="42" customHeight="1">
      <c r="A183" s="12">
        <f>A182+1</f>
        <v>46439</v>
      </c>
      <c r="B183" s="13" t="inlineStr">
        <is>
          <t xml:space="preserve">Sun</t>
        </is>
      </c>
      <c r="C183" s="13">
        <v>26</v>
      </c>
      <c r="D183" s="13" t="inlineStr">
        <is>
          <t xml:space="preserve">M7</t>
        </is>
      </c>
      <c r="E183" s="5" t="inlineStr">
        <is>
          <t xml:space="preserve">WEEKLY TEST. Interview analysis. Applications out</t>
        </is>
      </c>
      <c r="F183" s="5" t="inlineStr">
        <is>
          <t xml:space="preserve">Root cause named for every rejection</t>
        </is>
      </c>
      <c r="G183" s="5" t="inlineStr">
        <is>
          <t xml:space="preserve">Plan week 27</t>
        </is>
      </c>
      <c r="H183" s="14"/>
    </row>
    <row r="184" ht="42" customHeight="1">
      <c r="A184" s="3">
        <f>A183+1</f>
        <v>46440</v>
      </c>
      <c r="B184" s="11" t="inlineStr">
        <is>
          <t xml:space="preserve">Mon</t>
        </is>
      </c>
      <c r="C184" s="11">
        <v>27</v>
      </c>
      <c r="D184" s="11" t="inlineStr">
        <is>
          <t xml:space="preserve">M7</t>
        </is>
      </c>
      <c r="E184" s="2" t="inlineStr">
        <is>
          <t xml:space="preserve">GAP REPAIR BLOCK</t>
        </is>
      </c>
      <c r="F184" s="2" t="inlineStr">
        <is>
          <t xml:space="preserve">The recurring-gap rule: if the same gap appears 3 times, your METHOD is wrong, not your effort</t>
        </is>
      </c>
      <c r="G184" s="2" t="inlineStr">
        <is>
          <t xml:space="preserve">A changed repair method, not more repetition</t>
        </is>
      </c>
      <c r="H184" s="6"/>
    </row>
    <row r="185" ht="42" customHeight="1">
      <c r="A185" s="3">
        <f>A184+1</f>
        <v>46441</v>
      </c>
      <c r="B185" s="11" t="inlineStr">
        <is>
          <t xml:space="preserve">Tue</t>
        </is>
      </c>
      <c r="C185" s="11">
        <v>27</v>
      </c>
      <c r="D185" s="11" t="inlineStr">
        <is>
          <t xml:space="preserve">M7</t>
        </is>
      </c>
      <c r="E185" s="2" t="inlineStr">
        <is>
          <t xml:space="preserve">Amazon-tagged DSA set. Use Sean Prashad's company tags. 4 problems timed</t>
        </is>
      </c>
      <c r="F185" s="2" t="inlineStr">
        <is>
          <t xml:space="preserve">4 problems</t>
        </is>
      </c>
      <c r="G185" s="2" t="inlineStr">
        <is>
          <t xml:space="preserve">Patterns Amazon actually favours</t>
        </is>
      </c>
      <c r="H185" s="6"/>
    </row>
    <row r="186" ht="42" customHeight="1">
      <c r="A186" s="3">
        <f>A185+1</f>
        <v>46442</v>
      </c>
      <c r="B186" s="11" t="inlineStr">
        <is>
          <t xml:space="preserve">Wed</t>
        </is>
      </c>
      <c r="C186" s="11">
        <v>27</v>
      </c>
      <c r="D186" s="11" t="inlineStr">
        <is>
          <t xml:space="preserve">M7</t>
        </is>
      </c>
      <c r="E186" s="2" t="inlineStr">
        <is>
          <t xml:space="preserve">Google-tagged DSA set, no IDE, plus the follow-up variations Google favours</t>
        </is>
      </c>
      <c r="F186" s="2" t="inlineStr">
        <is>
          <t xml:space="preserve">4 problems, no IDE</t>
        </is>
      </c>
      <c r="G186" s="2" t="inlineStr">
        <is>
          <t xml:space="preserve">The variation, not just the base problem</t>
        </is>
      </c>
      <c r="H186" s="6"/>
    </row>
    <row r="187" ht="42" customHeight="1">
      <c r="A187" s="3">
        <f>A186+1</f>
        <v>46443</v>
      </c>
      <c r="B187" s="11" t="inlineStr">
        <is>
          <t xml:space="preserve">Thu</t>
        </is>
      </c>
      <c r="C187" s="11">
        <v>27</v>
      </c>
      <c r="D187" s="11" t="inlineStr">
        <is>
          <t xml:space="preserve">M7</t>
        </is>
      </c>
      <c r="E187" s="2" t="inlineStr">
        <is>
          <t xml:space="preserve">SYSTEM DESIGN 17: nearby friends / proximity service - geohashing, quadtrees, location updates at scale</t>
        </is>
      </c>
      <c r="F187" s="2" t="inlineStr">
        <is>
          <t xml:space="preserve">45 min timed design</t>
        </is>
      </c>
      <c r="G187" s="2" t="inlineStr">
        <is>
          <t xml:space="preserve">Geospatial indexing at a conceptual level</t>
        </is>
      </c>
      <c r="H187" s="6"/>
    </row>
    <row r="188" ht="42" customHeight="1">
      <c r="A188" s="3">
        <f>A187+1</f>
        <v>46444</v>
      </c>
      <c r="B188" s="11" t="inlineStr">
        <is>
          <t xml:space="preserve">Fri</t>
        </is>
      </c>
      <c r="C188" s="11">
        <v>27</v>
      </c>
      <c r="D188" s="11" t="inlineStr">
        <is>
          <t xml:space="preserve">M7</t>
        </is>
      </c>
      <c r="E188" s="2" t="inlineStr">
        <is>
          <t xml:space="preserve">Gap repair + Weak List. BEHAVIOURAL: re-record your three weakest stories</t>
        </is>
      </c>
      <c r="F188" s="2" t="inlineStr">
        <is>
          <t xml:space="preserve">Recordings</t>
        </is>
      </c>
      <c r="G188" s="2" t="inlineStr">
        <is>
          <t xml:space="preserve">The follow-up probes specifically - this is where the Bar Raiser round is decided</t>
        </is>
      </c>
      <c r="H188" s="6"/>
    </row>
    <row r="189" ht="42" customHeight="1">
      <c r="A189" s="3">
        <f>A188+1</f>
        <v>46445</v>
      </c>
      <c r="B189" s="11" t="inlineStr">
        <is>
          <t xml:space="preserve">Sat</t>
        </is>
      </c>
      <c r="C189" s="11">
        <v>27</v>
      </c>
      <c r="D189" s="11" t="inlineStr">
        <is>
          <t xml:space="preserve">M7</t>
        </is>
      </c>
      <c r="E189" s="2" t="inlineStr">
        <is>
          <t xml:space="preserve">FULL MOCK LOOP + RAG project phase 3</t>
        </is>
      </c>
      <c r="F189" s="2" t="inlineStr">
        <is>
          <t xml:space="preserve">Grounded generation with citations working</t>
        </is>
      </c>
      <c r="G189" s="2" t="inlineStr">
        <is>
          <t xml:space="preserve">Why citations matter and how you enforce them</t>
        </is>
      </c>
      <c r="H189" s="6"/>
    </row>
    <row r="190" ht="42" customHeight="1">
      <c r="A190" s="3">
        <f>A189+1</f>
        <v>46446</v>
      </c>
      <c r="B190" s="11" t="inlineStr">
        <is>
          <t xml:space="preserve">Sun</t>
        </is>
      </c>
      <c r="C190" s="11">
        <v>27</v>
      </c>
      <c r="D190" s="11" t="inlineStr">
        <is>
          <t xml:space="preserve">M7</t>
        </is>
      </c>
      <c r="E190" s="2" t="inlineStr">
        <is>
          <t xml:space="preserve">WEEKLY TEST. Interview analysis. Applications out</t>
        </is>
      </c>
      <c r="F190" s="2" t="inlineStr">
        <is>
          <t xml:space="preserve">Pipeline still alive</t>
        </is>
      </c>
      <c r="G190" s="2" t="inlineStr">
        <is>
          <t xml:space="preserve">Plan week 28</t>
        </is>
      </c>
      <c r="H190" s="6"/>
    </row>
    <row r="191" ht="42" customHeight="1">
      <c r="A191" s="12">
        <f>A190+1</f>
        <v>46447</v>
      </c>
      <c r="B191" s="13" t="inlineStr">
        <is>
          <t xml:space="preserve">Mon</t>
        </is>
      </c>
      <c r="C191" s="13">
        <v>28</v>
      </c>
      <c r="D191" s="13" t="inlineStr">
        <is>
          <t xml:space="preserve">M7</t>
        </is>
      </c>
      <c r="E191" s="5" t="inlineStr">
        <is>
          <t xml:space="preserve">GAP REPAIR BLOCK</t>
        </is>
      </c>
      <c r="F191" s="5" t="inlineStr">
        <is>
          <t xml:space="preserve">Are gaps actually closing, or is the same one recurring?</t>
        </is>
      </c>
      <c r="G191" s="5" t="inlineStr">
        <is>
          <t xml:space="preserve">Evidence of closure, in writing</t>
        </is>
      </c>
      <c r="H191" s="14"/>
    </row>
    <row r="192" ht="42" customHeight="1">
      <c r="A192" s="12">
        <f>A191+1</f>
        <v>46448</v>
      </c>
      <c r="B192" s="13" t="inlineStr">
        <is>
          <t xml:space="preserve">Tue</t>
        </is>
      </c>
      <c r="C192" s="13">
        <v>28</v>
      </c>
      <c r="D192" s="13" t="inlineStr">
        <is>
          <t xml:space="preserve">M7</t>
        </is>
      </c>
      <c r="E192" s="5" t="inlineStr">
        <is>
          <t xml:space="preserve">Selected HARD DSA - only in patterns you already own. Hard problems in weak patterns teach nothing. 2 problems</t>
        </is>
      </c>
      <c r="F192" s="5" t="inlineStr">
        <is>
          <t xml:space="preserve">2 problems</t>
        </is>
      </c>
      <c r="G192" s="5" t="inlineStr">
        <is>
          <t xml:space="preserve">Depth in patterns you own, not breadth in ones you do not</t>
        </is>
      </c>
      <c r="H192" s="14"/>
    </row>
    <row r="193" ht="42" customHeight="1">
      <c r="A193" s="12">
        <f>A192+1</f>
        <v>46449</v>
      </c>
      <c r="B193" s="13" t="inlineStr">
        <is>
          <t xml:space="preserve">Wed</t>
        </is>
      </c>
      <c r="C193" s="13">
        <v>28</v>
      </c>
      <c r="D193" s="13" t="inlineStr">
        <is>
          <t xml:space="preserve">M7</t>
        </is>
      </c>
      <c r="E193" s="5" t="inlineStr">
        <is>
          <t xml:space="preserve">SYSTEM DESIGN 18: object storage (S3-like) - durability, erasure coding, consistency model, metadata at scale</t>
        </is>
      </c>
      <c r="F193" s="5" t="inlineStr">
        <is>
          <t xml:space="preserve">Timed DSA + 45 min timed design</t>
        </is>
      </c>
      <c r="G193" s="5" t="inlineStr">
        <is>
          <t xml:space="preserve">How durability is actually achieved</t>
        </is>
      </c>
      <c r="H193" s="14"/>
    </row>
    <row r="194" ht="42" customHeight="1">
      <c r="A194" s="12">
        <f>A193+1</f>
        <v>46450</v>
      </c>
      <c r="B194" s="13" t="inlineStr">
        <is>
          <t xml:space="preserve">Thu</t>
        </is>
      </c>
      <c r="C194" s="13">
        <v>28</v>
      </c>
      <c r="D194" s="13" t="inlineStr">
        <is>
          <t xml:space="preserve">M7</t>
        </is>
      </c>
      <c r="E194" s="5" t="inlineStr">
        <is>
          <t xml:space="preserve">DEEP PROJECT DEFENCE. Have someone (or a recording) interrogate your project for 30 minutes: every design decision, every alternative rejected, every number</t>
        </is>
      </c>
      <c r="F194" s="5" t="inlineStr">
        <is>
          <t xml:space="preserve">Recording</t>
        </is>
      </c>
      <c r="G194" s="5" t="inlineStr">
        <is>
          <t xml:space="preserve">Your project under genuinely hostile questioning</t>
        </is>
      </c>
      <c r="H194" s="14"/>
    </row>
    <row r="195" ht="42" customHeight="1">
      <c r="A195" s="12">
        <f>A194+1</f>
        <v>46451</v>
      </c>
      <c r="B195" s="13" t="inlineStr">
        <is>
          <t xml:space="preserve">Fri</t>
        </is>
      </c>
      <c r="C195" s="13">
        <v>28</v>
      </c>
      <c r="D195" s="13" t="inlineStr">
        <is>
          <t xml:space="preserve">M7</t>
        </is>
      </c>
      <c r="E195" s="5" t="inlineStr">
        <is>
          <t xml:space="preserve">Gap repair + Weak List</t>
        </is>
      </c>
      <c r="F195" s="5" t="inlineStr">
        <is>
          <t xml:space="preserve">Applications out</t>
        </is>
      </c>
      <c r="G195" s="5" t="inlineStr">
        <is>
          <t xml:space="preserve">Nothing recurring</t>
        </is>
      </c>
      <c r="H195" s="14"/>
    </row>
    <row r="196" ht="42" customHeight="1">
      <c r="A196" s="12">
        <f>A195+1</f>
        <v>46452</v>
      </c>
      <c r="B196" s="13" t="inlineStr">
        <is>
          <t xml:space="preserve">Sat</t>
        </is>
      </c>
      <c r="C196" s="13">
        <v>28</v>
      </c>
      <c r="D196" s="13" t="inlineStr">
        <is>
          <t xml:space="preserve">M7</t>
        </is>
      </c>
      <c r="E196" s="5" t="inlineStr">
        <is>
          <t xml:space="preserve">FULL MOCK LOOP + RAG phase 4 (complete, deployed, README)</t>
        </is>
      </c>
      <c r="F196" s="5" t="inlineStr">
        <is>
          <t xml:space="preserve">RAG service live with recall@k numbers</t>
        </is>
      </c>
      <c r="G196" s="5" t="inlineStr">
        <is>
          <t xml:space="preserve">Almost no candidate MEASURES their RAG - the numbers are what make it memorable</t>
        </is>
      </c>
      <c r="H196" s="14"/>
    </row>
    <row r="197" ht="42" customHeight="1">
      <c r="A197" s="12">
        <f>A196+1</f>
        <v>46453</v>
      </c>
      <c r="B197" s="13" t="inlineStr">
        <is>
          <t xml:space="preserve">Sun</t>
        </is>
      </c>
      <c r="C197" s="13">
        <v>28</v>
      </c>
      <c r="D197" s="13" t="inlineStr">
        <is>
          <t xml:space="preserve">M7</t>
        </is>
      </c>
      <c r="E197" s="5" t="inlineStr">
        <is>
          <t xml:space="preserve">MONTH 7 CUMULATIVE TEST. Full interview analysis review - are gaps actually closing?</t>
        </is>
      </c>
      <c r="F197" s="5" t="inlineStr">
        <is>
          <t xml:space="preserve">Honest review</t>
        </is>
      </c>
      <c r="G197" s="5" t="inlineStr">
        <is>
          <t xml:space="preserve">RUN THE MONTH 7 CHECKPOINT. Plan month 8</t>
        </is>
      </c>
      <c r="H197" s="14"/>
    </row>
    <row r="198" ht="42" customHeight="1">
      <c r="A198" s="3">
        <f>A197+1</f>
        <v>46454</v>
      </c>
      <c r="B198" s="11" t="inlineStr">
        <is>
          <t xml:space="preserve">Mon</t>
        </is>
      </c>
      <c r="C198" s="11">
        <v>29</v>
      </c>
      <c r="D198" s="11" t="inlineStr">
        <is>
          <t xml:space="preserve">M8</t>
        </is>
      </c>
      <c r="E198" s="2" t="inlineStr">
        <is>
          <t xml:space="preserve">RE-SOLVE missed problems. Pull every problem you ever failed. Solve from memory, no hints. Track which still fail</t>
        </is>
      </c>
      <c r="F198" s="2" t="inlineStr">
        <is>
          <t xml:space="preserve">A list of the still-failing problems</t>
        </is>
      </c>
      <c r="G198" s="2" t="inlineStr">
        <is>
          <t xml:space="preserve">The real weak set, not the imagined one</t>
        </is>
      </c>
      <c r="H198" s="6"/>
    </row>
    <row r="199" ht="42" customHeight="1">
      <c r="A199" s="3">
        <f>A198+1</f>
        <v>46455</v>
      </c>
      <c r="B199" s="11" t="inlineStr">
        <is>
          <t xml:space="preserve">Tue</t>
        </is>
      </c>
      <c r="C199" s="11">
        <v>29</v>
      </c>
      <c r="D199" s="11" t="inlineStr">
        <is>
          <t xml:space="preserve">M8</t>
        </is>
      </c>
      <c r="E199" s="2" t="inlineStr">
        <is>
          <t xml:space="preserve">Continue the re-solve. Then build your personal PATTERN SHEET: one page, 15 patterns, recognition cues, template code</t>
        </is>
      </c>
      <c r="F199" s="2" t="inlineStr">
        <is>
          <t xml:space="preserve">A one-page pattern sheet written by you</t>
        </is>
      </c>
      <c r="G199" s="2" t="inlineStr">
        <is>
          <t xml:space="preserve">Your own reference, in your own words</t>
        </is>
      </c>
      <c r="H199" s="6"/>
    </row>
    <row r="200" ht="42" customHeight="1">
      <c r="A200" s="3">
        <f>A199+1</f>
        <v>46456</v>
      </c>
      <c r="B200" s="11" t="inlineStr">
        <is>
          <t xml:space="preserve">Wed</t>
        </is>
      </c>
      <c r="C200" s="11">
        <v>29</v>
      </c>
      <c r="D200" s="11" t="inlineStr">
        <is>
          <t xml:space="preserve">M8</t>
        </is>
      </c>
      <c r="E200" s="2" t="inlineStr">
        <is>
          <t xml:space="preserve">ORAL REVISION: C# and .NET. Speak for 45 minutes covering memory, OOP, collections, LINQ, async, GC, runtime. No notes. Recorded</t>
        </is>
      </c>
      <c r="F200" s="2" t="inlineStr">
        <is>
          <t xml:space="preserve">Recording</t>
        </is>
      </c>
      <c r="G200" s="2" t="inlineStr">
        <is>
          <t xml:space="preserve">Gaps exposed by your own silences</t>
        </is>
      </c>
      <c r="H200" s="6"/>
    </row>
    <row r="201" ht="42" customHeight="1">
      <c r="A201" s="3">
        <f>A200+1</f>
        <v>46457</v>
      </c>
      <c r="B201" s="11" t="inlineStr">
        <is>
          <t xml:space="preserve">Thu</t>
        </is>
      </c>
      <c r="C201" s="11">
        <v>29</v>
      </c>
      <c r="D201" s="11" t="inlineStr">
        <is>
          <t xml:space="preserve">M8</t>
        </is>
      </c>
      <c r="E201" s="2" t="inlineStr">
        <is>
          <t xml:space="preserve">ORAL REVISION: databases and SQL. Indexes, plans, transactions, isolation, locking, replication, sharding. No notes</t>
        </is>
      </c>
      <c r="F201" s="2" t="inlineStr">
        <is>
          <t xml:space="preserve">Recording</t>
        </is>
      </c>
      <c r="G201" s="2" t="inlineStr">
        <is>
          <t xml:space="preserve">45 unbroken minutes - the hardest English practice in the plan</t>
        </is>
      </c>
      <c r="H201" s="6"/>
    </row>
    <row r="202" ht="42" customHeight="1">
      <c r="A202" s="3">
        <f>A201+1</f>
        <v>46458</v>
      </c>
      <c r="B202" s="11" t="inlineStr">
        <is>
          <t xml:space="preserve">Fri</t>
        </is>
      </c>
      <c r="C202" s="11">
        <v>29</v>
      </c>
      <c r="D202" s="11" t="inlineStr">
        <is>
          <t xml:space="preserve">M8</t>
        </is>
      </c>
      <c r="E202" s="2" t="inlineStr">
        <is>
          <t xml:space="preserve">Weak List. Repair whatever the oral revisions exposed</t>
        </is>
      </c>
      <c r="F202" s="2" t="inlineStr">
        <is>
          <t xml:space="preserve">Applications out</t>
        </is>
      </c>
      <c r="G202" s="2" t="inlineStr">
        <is>
          <t xml:space="preserve">A shorter list</t>
        </is>
      </c>
      <c r="H202" s="6"/>
    </row>
    <row r="203" ht="42" customHeight="1">
      <c r="A203" s="3">
        <f>A202+1</f>
        <v>46459</v>
      </c>
      <c r="B203" s="11" t="inlineStr">
        <is>
          <t xml:space="preserve">Sat</t>
        </is>
      </c>
      <c r="C203" s="11">
        <v>29</v>
      </c>
      <c r="D203" s="11" t="inlineStr">
        <is>
          <t xml:space="preserve">M8</t>
        </is>
      </c>
      <c r="E203" s="2" t="inlineStr">
        <is>
          <t xml:space="preserve">SYSTEM DESIGNS FROM SCRATCH, timed: redo 3 of your earliest (URL shortener, rate limiter, notification service). Compare against your month 3 versions</t>
        </is>
      </c>
      <c r="F203" s="2" t="inlineStr">
        <is>
          <t xml:space="preserve">Three designs</t>
        </is>
      </c>
      <c r="G203" s="2" t="inlineStr">
        <is>
          <t xml:space="preserve">Visible proof of growth</t>
        </is>
      </c>
      <c r="H203" s="6"/>
    </row>
    <row r="204" ht="42" customHeight="1">
      <c r="A204" s="3">
        <f>A203+1</f>
        <v>46460</v>
      </c>
      <c r="B204" s="11" t="inlineStr">
        <is>
          <t xml:space="preserve">Sun</t>
        </is>
      </c>
      <c r="C204" s="11">
        <v>29</v>
      </c>
      <c r="D204" s="11" t="inlineStr">
        <is>
          <t xml:space="preserve">M8</t>
        </is>
      </c>
      <c r="E204" s="2" t="inlineStr">
        <is>
          <t xml:space="preserve">WEEKLY TEST. Applications and follow-ups</t>
        </is>
      </c>
      <c r="F204" s="2" t="inlineStr">
        <is>
          <t xml:space="preserve">Pipeline alive</t>
        </is>
      </c>
      <c r="G204" s="2" t="inlineStr">
        <is>
          <t xml:space="preserve">Plan week 30</t>
        </is>
      </c>
      <c r="H204" s="6"/>
    </row>
    <row r="205" ht="42" customHeight="1">
      <c r="A205" s="12">
        <f>A204+1</f>
        <v>46461</v>
      </c>
      <c r="B205" s="13" t="inlineStr">
        <is>
          <t xml:space="preserve">Mon</t>
        </is>
      </c>
      <c r="C205" s="13">
        <v>30</v>
      </c>
      <c r="D205" s="13" t="inlineStr">
        <is>
          <t xml:space="preserve">M8</t>
        </is>
      </c>
      <c r="E205" s="5" t="inlineStr">
        <is>
          <t xml:space="preserve">ORAL REVISION: networking and OS. The URL journey, TCP, TLS, HTTP versions, processes, threads, memory, scheduling. No notes</t>
        </is>
      </c>
      <c r="F205" s="5" t="inlineStr">
        <is>
          <t xml:space="preserve">Recording</t>
        </is>
      </c>
      <c r="G205" s="5" t="inlineStr">
        <is>
          <t xml:space="preserve">All of it, cold</t>
        </is>
      </c>
      <c r="H205" s="14"/>
    </row>
    <row r="206" ht="42" customHeight="1">
      <c r="A206" s="12">
        <f>A205+1</f>
        <v>46462</v>
      </c>
      <c r="B206" s="13" t="inlineStr">
        <is>
          <t xml:space="preserve">Tue</t>
        </is>
      </c>
      <c r="C206" s="13">
        <v>30</v>
      </c>
      <c r="D206" s="13" t="inlineStr">
        <is>
          <t xml:space="preserve">M8</t>
        </is>
      </c>
      <c r="E206" s="5" t="inlineStr">
        <is>
          <t xml:space="preserve">ORAL REVISION: distributed systems. Queues, delivery guarantees, idempotency, consistency, replication, sharding, consensus, resilience</t>
        </is>
      </c>
      <c r="F206" s="5" t="inlineStr">
        <is>
          <t xml:space="preserve">Recording</t>
        </is>
      </c>
      <c r="G206" s="5" t="inlineStr">
        <is>
          <t xml:space="preserve">All of it, cold</t>
        </is>
      </c>
      <c r="H206" s="14"/>
    </row>
    <row r="207" ht="42" customHeight="1">
      <c r="A207" s="12">
        <f>A206+1</f>
        <v>46463</v>
      </c>
      <c r="B207" s="13" t="inlineStr">
        <is>
          <t xml:space="preserve">Wed</t>
        </is>
      </c>
      <c r="C207" s="13">
        <v>30</v>
      </c>
      <c r="D207" s="13" t="inlineStr">
        <is>
          <t xml:space="preserve">M8</t>
        </is>
      </c>
      <c r="E207" s="5" t="inlineStr">
        <is>
          <t xml:space="preserve">Timed DSA + redo 2 system designs from scratch</t>
        </is>
      </c>
      <c r="F207" s="5" t="inlineStr">
        <is>
          <t xml:space="preserve">Two designs</t>
        </is>
      </c>
      <c r="G207" s="5" t="inlineStr">
        <is>
          <t xml:space="preserve">Faster and cleaner than month 3</t>
        </is>
      </c>
      <c r="H207" s="14"/>
    </row>
    <row r="208" ht="42" customHeight="1">
      <c r="A208" s="12">
        <f>A207+1</f>
        <v>46464</v>
      </c>
      <c r="B208" s="13" t="inlineStr">
        <is>
          <t xml:space="preserve">Thu</t>
        </is>
      </c>
      <c r="C208" s="13">
        <v>30</v>
      </c>
      <c r="D208" s="13" t="inlineStr">
        <is>
          <t xml:space="preserve">M8</t>
        </is>
      </c>
      <c r="E208" s="5" t="inlineStr">
        <is>
          <t xml:space="preserve">RANDOMISED BEHAVIOURAL. Have someone pick stories at random, or use a shuffled list. No warning, no preparation time</t>
        </is>
      </c>
      <c r="F208" s="5" t="inlineStr">
        <is>
          <t xml:space="preserve">Recording</t>
        </is>
      </c>
      <c r="G208" s="5" t="inlineStr">
        <is>
          <t xml:space="preserve">Stories that survive randomisation - a rehearsed sequence sounds memorised</t>
        </is>
      </c>
      <c r="H208" s="14"/>
    </row>
    <row r="209" ht="42" customHeight="1">
      <c r="A209" s="12">
        <f>A208+1</f>
        <v>46465</v>
      </c>
      <c r="B209" s="13" t="inlineStr">
        <is>
          <t xml:space="preserve">Fri</t>
        </is>
      </c>
      <c r="C209" s="13">
        <v>30</v>
      </c>
      <c r="D209" s="13" t="inlineStr">
        <is>
          <t xml:space="preserve">M8</t>
        </is>
      </c>
      <c r="E209" s="5" t="inlineStr">
        <is>
          <t xml:space="preserve">Weak List repair</t>
        </is>
      </c>
      <c r="F209" s="5" t="inlineStr">
        <is>
          <t xml:space="preserve">Applications out</t>
        </is>
      </c>
      <c r="G209" s="5" t="inlineStr">
        <is>
          <t xml:space="preserve">Nothing left unrepaired</t>
        </is>
      </c>
      <c r="H209" s="14"/>
    </row>
    <row r="210" ht="42" customHeight="1">
      <c r="A210" s="12">
        <f>A209+1</f>
        <v>46466</v>
      </c>
      <c r="B210" s="13" t="inlineStr">
        <is>
          <t xml:space="preserve">Sat</t>
        </is>
      </c>
      <c r="C210" s="13">
        <v>30</v>
      </c>
      <c r="D210" s="13" t="inlineStr">
        <is>
          <t xml:space="preserve">M8</t>
        </is>
      </c>
      <c r="E210" s="5" t="inlineStr">
        <is>
          <t xml:space="preserve">FULL MOCK LOOP. Then redo 3 more system designs</t>
        </is>
      </c>
      <c r="F210" s="5" t="inlineStr">
        <is>
          <t xml:space="preserve">Recordings</t>
        </is>
      </c>
      <c r="G210" s="5" t="inlineStr">
        <is>
          <t xml:space="preserve">Consistency under fatigue</t>
        </is>
      </c>
      <c r="H210" s="14"/>
    </row>
    <row r="211" ht="42" customHeight="1">
      <c r="A211" s="12">
        <f>A210+1</f>
        <v>46467</v>
      </c>
      <c r="B211" s="13" t="inlineStr">
        <is>
          <t xml:space="preserve">Sun</t>
        </is>
      </c>
      <c r="C211" s="13">
        <v>30</v>
      </c>
      <c r="D211" s="13" t="inlineStr">
        <is>
          <t xml:space="preserve">M8</t>
        </is>
      </c>
      <c r="E211" s="5" t="inlineStr">
        <is>
          <t xml:space="preserve">WEEKLY TEST. Applications</t>
        </is>
      </c>
      <c r="F211" s="5" t="inlineStr">
        <is>
          <t xml:space="preserve">Pipeline alive</t>
        </is>
      </c>
      <c r="G211" s="5" t="inlineStr">
        <is>
          <t xml:space="preserve">Plan week 31</t>
        </is>
      </c>
      <c r="H211" s="14"/>
    </row>
    <row r="212" ht="42" customHeight="1">
      <c r="A212" s="3">
        <f>A211+1</f>
        <v>46468</v>
      </c>
      <c r="B212" s="11" t="inlineStr">
        <is>
          <t xml:space="preserve">Mon</t>
        </is>
      </c>
      <c r="C212" s="11">
        <v>31</v>
      </c>
      <c r="D212" s="11" t="inlineStr">
        <is>
          <t xml:space="preserve">M8</t>
        </is>
      </c>
      <c r="E212" s="2" t="inlineStr">
        <is>
          <t xml:space="preserve">Timed DSA, hard set, only patterns you own</t>
        </is>
      </c>
      <c r="F212" s="2" t="inlineStr">
        <is>
          <t xml:space="preserve">Problems solved and logged</t>
        </is>
      </c>
      <c r="G212" s="2" t="inlineStr">
        <is>
          <t xml:space="preserve">Complexity stated without prompting</t>
        </is>
      </c>
      <c r="H212" s="6"/>
    </row>
    <row r="213" ht="42" customHeight="1">
      <c r="A213" s="3">
        <f>A212+1</f>
        <v>46469</v>
      </c>
      <c r="B213" s="11" t="inlineStr">
        <is>
          <t xml:space="preserve">Tue</t>
        </is>
      </c>
      <c r="C213" s="11">
        <v>31</v>
      </c>
      <c r="D213" s="11" t="inlineStr">
        <is>
          <t xml:space="preserve">M8</t>
        </is>
      </c>
      <c r="E213" s="2" t="inlineStr">
        <is>
          <t xml:space="preserve">Redo 3 system designs from scratch, timed, no notes</t>
        </is>
      </c>
      <c r="F213" s="2" t="inlineStr">
        <is>
          <t xml:space="preserve">Three designs</t>
        </is>
      </c>
      <c r="G213" s="2" t="inlineStr">
        <is>
          <t xml:space="preserve">All nine steps in order, every time</t>
        </is>
      </c>
      <c r="H213" s="6"/>
    </row>
    <row r="214" ht="42" customHeight="1">
      <c r="A214" s="3">
        <f>A213+1</f>
        <v>46470</v>
      </c>
      <c r="B214" s="11" t="inlineStr">
        <is>
          <t xml:space="preserve">Wed</t>
        </is>
      </c>
      <c r="C214" s="11">
        <v>31</v>
      </c>
      <c r="D214" s="11" t="inlineStr">
        <is>
          <t xml:space="preserve">M8</t>
        </is>
      </c>
      <c r="E214" s="2" t="inlineStr">
        <is>
          <t xml:space="preserve">PROJECT DEFENCE, second pass. 30 minutes of hostile questioning on BOTH projects</t>
        </is>
      </c>
      <c r="F214" s="2" t="inlineStr">
        <is>
          <t xml:space="preserve">Recording</t>
        </is>
      </c>
      <c r="G214" s="2" t="inlineStr">
        <is>
          <t xml:space="preserve">Every decision, every rejected alternative, every number</t>
        </is>
      </c>
      <c r="H214" s="6"/>
    </row>
    <row r="215" ht="42" customHeight="1">
      <c r="A215" s="3">
        <f>A214+1</f>
        <v>46471</v>
      </c>
      <c r="B215" s="11" t="inlineStr">
        <is>
          <t xml:space="preserve">Thu</t>
        </is>
      </c>
      <c r="C215" s="11">
        <v>31</v>
      </c>
      <c r="D215" s="11" t="inlineStr">
        <is>
          <t xml:space="preserve">M8</t>
        </is>
      </c>
      <c r="E215" s="2" t="inlineStr">
        <is>
          <t xml:space="preserve">RANDOMISED BEHAVIOURAL + Googliness + LP mixed</t>
        </is>
      </c>
      <c r="F215" s="2" t="inlineStr">
        <is>
          <t xml:space="preserve">Recording</t>
        </is>
      </c>
      <c r="G215" s="2" t="inlineStr">
        <is>
          <t xml:space="preserve">No warning, no order, no script</t>
        </is>
      </c>
      <c r="H215" s="6"/>
    </row>
    <row r="216" ht="42" customHeight="1">
      <c r="A216" s="3">
        <f>A215+1</f>
        <v>46472</v>
      </c>
      <c r="B216" s="11" t="inlineStr">
        <is>
          <t xml:space="preserve">Fri</t>
        </is>
      </c>
      <c r="C216" s="11">
        <v>31</v>
      </c>
      <c r="D216" s="11" t="inlineStr">
        <is>
          <t xml:space="preserve">M8</t>
        </is>
      </c>
      <c r="E216" s="2" t="inlineStr">
        <is>
          <t xml:space="preserve">Weak List. Final gap repair</t>
        </is>
      </c>
      <c r="F216" s="2" t="inlineStr">
        <is>
          <t xml:space="preserve">Applications out</t>
        </is>
      </c>
      <c r="G216" s="2" t="inlineStr">
        <is>
          <t xml:space="preserve">The list is short</t>
        </is>
      </c>
      <c r="H216" s="6"/>
    </row>
    <row r="217" ht="42" customHeight="1">
      <c r="A217" s="3">
        <f>A216+1</f>
        <v>46473</v>
      </c>
      <c r="B217" s="11" t="inlineStr">
        <is>
          <t xml:space="preserve">Sat</t>
        </is>
      </c>
      <c r="C217" s="11">
        <v>31</v>
      </c>
      <c r="D217" s="11" t="inlineStr">
        <is>
          <t xml:space="preserve">M8</t>
        </is>
      </c>
      <c r="E217" s="2" t="inlineStr">
        <is>
          <t xml:space="preserve">TWO FULL MOCK LOOPS IN ONE DAY. This simulates onsite fatigue, which is real and under-practised</t>
        </is>
      </c>
      <c r="F217" s="2" t="inlineStr">
        <is>
          <t xml:space="preserve">Recordings</t>
        </is>
      </c>
      <c r="G217" s="2" t="inlineStr">
        <is>
          <t xml:space="preserve">Whether round 4 is as good as round 1</t>
        </is>
      </c>
      <c r="H217" s="6"/>
    </row>
    <row r="218" ht="42" customHeight="1">
      <c r="A218" s="3">
        <f>A217+1</f>
        <v>46474</v>
      </c>
      <c r="B218" s="11" t="inlineStr">
        <is>
          <t xml:space="preserve">Sun</t>
        </is>
      </c>
      <c r="C218" s="11">
        <v>31</v>
      </c>
      <c r="D218" s="11" t="inlineStr">
        <is>
          <t xml:space="preserve">M8</t>
        </is>
      </c>
      <c r="E218" s="2" t="inlineStr">
        <is>
          <t xml:space="preserve">WEEKLY TEST. Applications</t>
        </is>
      </c>
      <c r="F218" s="2" t="inlineStr">
        <is>
          <t xml:space="preserve">Pipeline alive</t>
        </is>
      </c>
      <c r="G218" s="2" t="inlineStr">
        <is>
          <t xml:space="preserve">Plan week 32</t>
        </is>
      </c>
      <c r="H218" s="6"/>
    </row>
    <row r="219" ht="42" customHeight="1">
      <c r="A219" s="12">
        <f>A218+1</f>
        <v>46475</v>
      </c>
      <c r="B219" s="13" t="inlineStr">
        <is>
          <t xml:space="preserve">Mon</t>
        </is>
      </c>
      <c r="C219" s="13">
        <v>32</v>
      </c>
      <c r="D219" s="13" t="inlineStr">
        <is>
          <t xml:space="preserve">M8</t>
        </is>
      </c>
      <c r="E219" s="5" t="inlineStr">
        <is>
          <t xml:space="preserve">Light DSA (maintenance, not growth). Review your pattern sheet</t>
        </is>
      </c>
      <c r="F219" s="5" t="inlineStr">
        <is>
          <t xml:space="preserve">Pattern sheet reviewed</t>
        </is>
      </c>
      <c r="G219" s="5" t="inlineStr">
        <is>
          <t xml:space="preserve">Everything on one page</t>
        </is>
      </c>
      <c r="H219" s="14"/>
    </row>
    <row r="220" ht="42" customHeight="1">
      <c r="A220" s="12">
        <f>A219+1</f>
        <v>46476</v>
      </c>
      <c r="B220" s="13" t="inlineStr">
        <is>
          <t xml:space="preserve">Tue</t>
        </is>
      </c>
      <c r="C220" s="13">
        <v>32</v>
      </c>
      <c r="D220" s="13" t="inlineStr">
        <is>
          <t xml:space="preserve">M8</t>
        </is>
      </c>
      <c r="E220" s="5" t="inlineStr">
        <is>
          <t xml:space="preserve">NEGOTIATION PREP. Levels.fyi research for your target companies, locations and level. Know the bands BEFORE any conversation. Doc 14 Part 5</t>
        </is>
      </c>
      <c r="F220" s="5" t="inlineStr">
        <is>
          <t xml:space="preserve">Written numbers per target country</t>
        </is>
      </c>
      <c r="G220" s="5" t="inlineStr">
        <is>
          <t xml:space="preserve">A range you can state calmly, in the local currency</t>
        </is>
      </c>
      <c r="H220" s="14"/>
    </row>
    <row r="221" ht="42" customHeight="1">
      <c r="A221" s="12">
        <f>A220+1</f>
        <v>46477</v>
      </c>
      <c r="B221" s="13" t="inlineStr">
        <is>
          <t xml:space="preserve">Wed</t>
        </is>
      </c>
      <c r="C221" s="13">
        <v>32</v>
      </c>
      <c r="D221" s="13" t="inlineStr">
        <is>
          <t xml:space="preserve">M8</t>
        </is>
      </c>
      <c r="E221" s="5" t="inlineStr">
        <is>
          <t xml:space="preserve">OFFER-HANDLING SCRIPTS. How to ask for time, how to communicate competing offers honestly, how to discuss level rather than only money. Doc 14 Part 7 sections E-G</t>
        </is>
      </c>
      <c r="F221" s="5" t="inlineStr">
        <is>
          <t xml:space="preserve">Written scripts, said aloud five times</t>
        </is>
      </c>
      <c r="G221" s="5" t="inlineStr">
        <is>
          <t xml:space="preserve">Composure under offer pressure</t>
        </is>
      </c>
      <c r="H221" s="14"/>
    </row>
    <row r="222" ht="42" customHeight="1">
      <c r="A222" s="12">
        <f>A221+1</f>
        <v>46478</v>
      </c>
      <c r="B222" s="13" t="inlineStr">
        <is>
          <t xml:space="preserve">Thu</t>
        </is>
      </c>
      <c r="C222" s="13">
        <v>32</v>
      </c>
      <c r="D222" s="13" t="inlineStr">
        <is>
          <t xml:space="preserve">M8</t>
        </is>
      </c>
      <c r="E222" s="5" t="inlineStr">
        <is>
          <t xml:space="preserve">Light revision across all areas. Do NOT cram</t>
        </is>
      </c>
      <c r="F222" s="5" t="inlineStr">
        <is>
          <t xml:space="preserve">Rest is part of the plan</t>
        </is>
      </c>
      <c r="G222" s="5" t="inlineStr">
        <is>
          <t xml:space="preserve">Nothing new this week</t>
        </is>
      </c>
      <c r="H222" s="14"/>
    </row>
    <row r="223" ht="42" customHeight="1">
      <c r="A223" s="12">
        <f>A222+1</f>
        <v>46479</v>
      </c>
      <c r="B223" s="13" t="inlineStr">
        <is>
          <t xml:space="preserve">Fri</t>
        </is>
      </c>
      <c r="C223" s="13">
        <v>32</v>
      </c>
      <c r="D223" s="13" t="inlineStr">
        <is>
          <t xml:space="preserve">M8</t>
        </is>
      </c>
      <c r="E223" s="5" t="inlineStr">
        <is>
          <t xml:space="preserve">Weak List final pass</t>
        </is>
      </c>
      <c r="F223" s="5" t="inlineStr">
        <is>
          <t xml:space="preserve">Applications and follow-ups</t>
        </is>
      </c>
      <c r="G223" s="5" t="inlineStr">
        <is>
          <t xml:space="preserve">Nothing outstanding</t>
        </is>
      </c>
      <c r="H223" s="14"/>
    </row>
    <row r="224" ht="42" customHeight="1">
      <c r="A224" s="12">
        <f>A223+1</f>
        <v>46480</v>
      </c>
      <c r="B224" s="13" t="inlineStr">
        <is>
          <t xml:space="preserve">Sat</t>
        </is>
      </c>
      <c r="C224" s="13">
        <v>32</v>
      </c>
      <c r="D224" s="13" t="inlineStr">
        <is>
          <t xml:space="preserve">M8</t>
        </is>
      </c>
      <c r="E224" s="5" t="inlineStr">
        <is>
          <t xml:space="preserve">Full mock loop if interviews are still live; rest if they are not</t>
        </is>
      </c>
      <c r="F224" s="5" t="inlineStr">
        <is>
          <t xml:space="preserve">Your call, honestly made</t>
        </is>
      </c>
      <c r="G224" s="5" t="inlineStr">
        <is>
          <t xml:space="preserve">Readiness, not exhaustion</t>
        </is>
      </c>
      <c r="H224" s="14"/>
    </row>
    <row r="225" ht="42" customHeight="1">
      <c r="A225" s="12">
        <f>A224+1</f>
        <v>46481</v>
      </c>
      <c r="B225" s="13" t="inlineStr">
        <is>
          <t xml:space="preserve">Sun</t>
        </is>
      </c>
      <c r="C225" s="13">
        <v>32</v>
      </c>
      <c r="D225" s="13" t="inlineStr">
        <is>
          <t xml:space="preserve">M8</t>
        </is>
      </c>
      <c r="E225" s="5" t="inlineStr">
        <is>
          <t xml:space="preserve">FINAL CUMULATIVE TEST. Then plan what comes next - more interviews, or the first 90 days of a new job</t>
        </is>
      </c>
      <c r="F225" s="5" t="inlineStr">
        <is>
          <t xml:space="preserve">Run the final checkpoint list</t>
        </is>
      </c>
      <c r="G225" s="5" t="inlineStr">
        <is>
          <t xml:space="preserve">What you can do from memory, under time pressure, in English</t>
        </is>
      </c>
      <c r="H225" s="14"/>
    </row>
  </sheetData>
  <autoFilter ref="A1:H225"/>
  <pageMargins left="0.5" right="0.5" top="0.5" bottom="0.5" header="0.3" footer="0.3"/>
</worksheet>
</file>

<file path=xl/worksheets/sheet3.xml><?xml version="1.0" encoding="utf-8"?>
<worksheet xmlns="http://schemas.openxmlformats.org/spreadsheetml/2006/main">
  <dimension ref="A1:H33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6" customWidth="1"/>
    <col min="3" max="3" width="14" customWidth="1"/>
    <col min="4" max="4" width="14" customWidth="1"/>
    <col min="5" max="5" width="44" customWidth="1"/>
    <col min="6" max="6" width="38" customWidth="1"/>
    <col min="7" max="7" width="40" customWidth="1"/>
    <col min="8" max="8" width="7" customWidth="1"/>
  </cols>
  <sheetData>
    <row r="1" ht="30" customHeight="1">
      <c r="A1" s="1" t="inlineStr">
        <is>
          <t xml:space="preserve">Wk</t>
        </is>
      </c>
      <c r="B1" s="1" t="inlineStr">
        <is>
          <t xml:space="preserve">Mth</t>
        </is>
      </c>
      <c r="C1" s="1" t="inlineStr">
        <is>
          <t xml:space="preserve">Starts</t>
        </is>
      </c>
      <c r="D1" s="1" t="inlineStr">
        <is>
          <t xml:space="preserve">Ends</t>
        </is>
      </c>
      <c r="E1" s="1" t="inlineStr">
        <is>
          <t xml:space="preserve">THIS WEEK IS ABOUT</t>
        </is>
      </c>
      <c r="F1" s="1" t="inlineStr">
        <is>
          <t xml:space="preserve">DSA THEME</t>
        </is>
      </c>
      <c r="G1" s="1" t="inlineStr">
        <is>
          <t xml:space="preserve">DONE BY SUNDAY</t>
        </is>
      </c>
      <c r="H1" s="1" t="inlineStr">
        <is>
          <t xml:space="preserve">OK?</t>
        </is>
      </c>
    </row>
    <row r="2" ht="34" customHeight="1">
      <c r="A2" s="11">
        <v>1</v>
      </c>
      <c r="B2" s="11" t="inlineStr">
        <is>
          <t xml:space="preserve">M1</t>
        </is>
      </c>
      <c r="C2" s="3">
        <f>START!$C$4+0</f>
        <v>46258</v>
      </c>
      <c r="D2" s="3">
        <f>C2+6</f>
        <v>46264</v>
      </c>
      <c r="E2" s="2" t="inlineStr">
        <is>
          <t xml:space="preserve">The type system and memory</t>
        </is>
      </c>
      <c r="F2" s="2" t="inlineStr">
        <is>
          <t xml:space="preserve">Big-O and arrays</t>
        </is>
      </c>
      <c r="G2" s="2" t="inlineStr">
        <is>
          <t xml:space="preserve">10 problems logged. First Sunday test done</t>
        </is>
      </c>
      <c r="H2" s="6"/>
    </row>
    <row r="3" ht="34" customHeight="1">
      <c r="A3" s="13">
        <v>2</v>
      </c>
      <c r="B3" s="13" t="inlineStr">
        <is>
          <t xml:space="preserve">M1</t>
        </is>
      </c>
      <c r="C3" s="12">
        <f>START!$C$4+7</f>
        <v>46265</v>
      </c>
      <c r="D3" s="12">
        <f>C3+6</f>
        <v>46271</v>
      </c>
      <c r="E3" s="5" t="inlineStr">
        <is>
          <t xml:space="preserve">Object orientation, properly</t>
        </is>
      </c>
      <c r="F3" s="5" t="inlineStr">
        <is>
          <t xml:space="preserve">Strings and hashing</t>
        </is>
      </c>
      <c r="G3" s="5" t="inlineStr">
        <is>
          <t xml:space="preserve">10 problems. Weak List growing. Toy comparisons built</t>
        </is>
      </c>
      <c r="H3" s="14"/>
    </row>
    <row r="4" ht="34" customHeight="1">
      <c r="A4" s="11">
        <v>3</v>
      </c>
      <c r="B4" s="11" t="inlineStr">
        <is>
          <t xml:space="preserve">M1</t>
        </is>
      </c>
      <c r="C4" s="3">
        <f>START!$C$4+14</f>
        <v>46272</v>
      </c>
      <c r="D4" s="3">
        <f>C4+6</f>
        <v>46278</v>
      </c>
      <c r="E4" s="2" t="inlineStr">
        <is>
          <t xml:space="preserve">Collections, LINQ, delegates</t>
        </is>
      </c>
      <c r="F4" s="2" t="inlineStr">
        <is>
          <t xml:space="preserve">Two pointers and sliding window</t>
        </is>
      </c>
      <c r="G4" s="2" t="inlineStr">
        <is>
          <t xml:space="preserve">10 problems. Toy hash map built</t>
        </is>
      </c>
      <c r="H4" s="6"/>
    </row>
    <row r="5" ht="34" customHeight="1">
      <c r="A5" s="13">
        <v>4</v>
      </c>
      <c r="B5" s="13" t="inlineStr">
        <is>
          <t xml:space="preserve">M1</t>
        </is>
      </c>
      <c r="C5" s="12">
        <f>START!$C$4+21</f>
        <v>46279</v>
      </c>
      <c r="D5" s="12">
        <f>C5+6</f>
        <v>46285</v>
      </c>
      <c r="E5" s="5" t="inlineStr">
        <is>
          <t xml:space="preserve">Exceptions, lifetime, and async - the most important week of M1</t>
        </is>
      </c>
      <c r="F5" s="5" t="inlineStr">
        <is>
          <t xml:space="preserve">Stack, queue, binary search</t>
        </is>
      </c>
      <c r="G5" s="5" t="inlineStr">
        <is>
          <t xml:space="preserve">Month 1 checkpoint passed. ~40 problems total</t>
        </is>
      </c>
      <c r="H5" s="14"/>
    </row>
    <row r="6" ht="34" customHeight="1">
      <c r="A6" s="11">
        <v>5</v>
      </c>
      <c r="B6" s="11" t="inlineStr">
        <is>
          <t xml:space="preserve">M2</t>
        </is>
      </c>
      <c r="C6" s="3">
        <f>START!$C$4+28</f>
        <v>46286</v>
      </c>
      <c r="D6" s="3">
        <f>C6+6</f>
        <v>46292</v>
      </c>
      <c r="E6" s="2" t="inlineStr">
        <is>
          <t xml:space="preserve">Concurrency and parallelism</t>
        </is>
      </c>
      <c r="F6" s="2" t="inlineStr">
        <is>
          <t xml:space="preserve">Linked lists</t>
        </is>
      </c>
      <c r="G6" s="2" t="inlineStr">
        <is>
          <t xml:space="preserve">Producer-consumer built. 10 problems</t>
        </is>
      </c>
      <c r="H6" s="6"/>
    </row>
    <row r="7" ht="34" customHeight="1">
      <c r="A7" s="13">
        <v>6</v>
      </c>
      <c r="B7" s="13" t="inlineStr">
        <is>
          <t xml:space="preserve">M2</t>
        </is>
      </c>
      <c r="C7" s="12">
        <f>START!$C$4+35</f>
        <v>46293</v>
      </c>
      <c r="D7" s="12">
        <f>C7+6</f>
        <v>46299</v>
      </c>
      <c r="E7" s="5" t="inlineStr">
        <is>
          <t xml:space="preserve">The runtime and the ASP.NET Core platform</t>
        </is>
      </c>
      <c r="F7" s="5" t="inlineStr">
        <is>
          <t xml:space="preserve">Recursion</t>
        </is>
      </c>
      <c r="G7" s="5" t="inlineStr">
        <is>
          <t xml:space="preserve">Minimal API built from an empty project. AI answer drafted</t>
        </is>
      </c>
      <c r="H7" s="14"/>
    </row>
    <row r="8" ht="34" customHeight="1">
      <c r="A8" s="11">
        <v>7</v>
      </c>
      <c r="B8" s="11" t="inlineStr">
        <is>
          <t xml:space="preserve">M2</t>
        </is>
      </c>
      <c r="C8" s="3">
        <f>START!$C$4+42</f>
        <v>46300</v>
      </c>
      <c r="D8" s="3">
        <f>C8+6</f>
        <v>46306</v>
      </c>
      <c r="E8" s="2" t="inlineStr">
        <is>
          <t xml:space="preserve">Web API, security, and EF Core</t>
        </is>
      </c>
      <c r="F8" s="2" t="inlineStr">
        <is>
          <t xml:space="preserve">Trees and BST</t>
        </is>
      </c>
      <c r="G8" s="2" t="inlineStr">
        <is>
          <t xml:space="preserve">N+1 reproduced and fixed. Redis cache-aside working</t>
        </is>
      </c>
      <c r="H8" s="6"/>
    </row>
    <row r="9" ht="34" customHeight="1">
      <c r="A9" s="13">
        <v>8</v>
      </c>
      <c r="B9" s="13" t="inlineStr">
        <is>
          <t xml:space="preserve">M2</t>
        </is>
      </c>
      <c r="C9" s="12">
        <f>START!$C$4+49</f>
        <v>46307</v>
      </c>
      <c r="D9" s="12">
        <f>C9+6</f>
        <v>46313</v>
      </c>
      <c r="E9" s="5" t="inlineStr">
        <is>
          <t xml:space="preserve">SQL and database internals - highest immediate job value in the plan</t>
        </is>
      </c>
      <c r="F9" s="5" t="inlineStr">
        <is>
          <t xml:space="preserve">Heaps and priority queues. FIRST TIMED SESSIONS</t>
        </is>
      </c>
      <c r="G9" s="5" t="inlineStr">
        <is>
          <t xml:space="preserve">Month 2 checkpoint. Dirty read and deadlock reproduced</t>
        </is>
      </c>
      <c r="H9" s="14"/>
    </row>
    <row r="10" ht="34" customHeight="1">
      <c r="A10" s="11">
        <v>9</v>
      </c>
      <c r="B10" s="11" t="inlineStr">
        <is>
          <t xml:space="preserve">M3</t>
        </is>
      </c>
      <c r="C10" s="3">
        <f>START!$C$4+56</f>
        <v>46314</v>
      </c>
      <c r="D10" s="3">
        <f>C10+6</f>
        <v>46320</v>
      </c>
      <c r="E10" s="2" t="inlineStr">
        <is>
          <t xml:space="preserve">Networking</t>
        </is>
      </c>
      <c r="F10" s="2" t="inlineStr">
        <is>
          <t xml:space="preserve">Graphs part 1 - BFS and DFS</t>
        </is>
      </c>
      <c r="G10" s="2" t="inlineStr">
        <is>
          <t xml:space="preserve">Full URL journey explained aloud</t>
        </is>
      </c>
      <c r="H10" s="6"/>
    </row>
    <row r="11" ht="34" customHeight="1">
      <c r="A11" s="13">
        <v>10</v>
      </c>
      <c r="B11" s="13" t="inlineStr">
        <is>
          <t xml:space="preserve">M3</t>
        </is>
      </c>
      <c r="C11" s="12">
        <f>START!$C$4+63</f>
        <v>46321</v>
      </c>
      <c r="D11" s="12">
        <f>C11+6</f>
        <v>46327</v>
      </c>
      <c r="E11" s="5" t="inlineStr">
        <is>
          <t xml:space="preserve">Operating systems</t>
        </is>
      </c>
      <c r="F11" s="5" t="inlineStr">
        <is>
          <t xml:space="preserve">Graphs part 2 - topological sort and union-find</t>
        </is>
      </c>
      <c r="G11" s="5" t="inlineStr">
        <is>
          <t xml:space="preserve">10 problems. Two-layer scheduler diagram drawn</t>
        </is>
      </c>
      <c r="H11" s="14"/>
    </row>
    <row r="12" ht="34" customHeight="1">
      <c r="A12" s="11">
        <v>11</v>
      </c>
      <c r="B12" s="11" t="inlineStr">
        <is>
          <t xml:space="preserve">M3</t>
        </is>
      </c>
      <c r="C12" s="3">
        <f>START!$C$4+70</f>
        <v>46328</v>
      </c>
      <c r="D12" s="3">
        <f>C12+6</f>
        <v>46334</v>
      </c>
      <c r="E12" s="2" t="inlineStr">
        <is>
          <t xml:space="preserve">Distributed data and caching</t>
        </is>
      </c>
      <c r="F12" s="2" t="inlineStr">
        <is>
          <t xml:space="preserve">Intervals and greedy</t>
        </is>
      </c>
      <c r="G12" s="2" t="inlineStr">
        <is>
          <t xml:space="preserve">Consistent hashing implemented. Unfamiliar codebase read cold</t>
        </is>
      </c>
      <c r="H12" s="6"/>
    </row>
    <row r="13" ht="34" customHeight="1">
      <c r="A13" s="13">
        <v>12</v>
      </c>
      <c r="B13" s="13" t="inlineStr">
        <is>
          <t xml:space="preserve">M3</t>
        </is>
      </c>
      <c r="C13" s="12">
        <f>START!$C$4+77</f>
        <v>46335</v>
      </c>
      <c r="D13" s="12">
        <f>C13+6</f>
        <v>46341</v>
      </c>
      <c r="E13" s="5" t="inlineStr">
        <is>
          <t xml:space="preserve">Messaging, and SYSTEM DESIGN BEGINS</t>
        </is>
      </c>
      <c r="F13" s="5" t="inlineStr">
        <is>
          <t xml:space="preserve">Mixed set - interleaving starts</t>
        </is>
      </c>
      <c r="G13" s="5" t="inlineStr">
        <is>
          <t xml:space="preserve">Month 3 checkpoint. 3 designs timed. Mixed DSA sets begin</t>
        </is>
      </c>
      <c r="H13" s="14"/>
    </row>
    <row r="14" ht="34" customHeight="1">
      <c r="A14" s="11">
        <v>13</v>
      </c>
      <c r="B14" s="11" t="inlineStr">
        <is>
          <t xml:space="preserve">M4</t>
        </is>
      </c>
      <c r="C14" s="3">
        <f>START!$C$4+84</f>
        <v>46342</v>
      </c>
      <c r="D14" s="3">
        <f>C14+6</f>
        <v>46348</v>
      </c>
      <c r="E14" s="2" t="inlineStr">
        <is>
          <t xml:space="preserve">SOLID and object-oriented design</t>
        </is>
      </c>
      <c r="F14" s="2" t="inlineStr">
        <is>
          <t xml:space="preserve">Backtracking</t>
        </is>
      </c>
      <c r="G14" s="2" t="inlineStr">
        <is>
          <t xml:space="preserve">3 LLDs done from a blank page</t>
        </is>
      </c>
      <c r="H14" s="6"/>
    </row>
    <row r="15" ht="34" customHeight="1">
      <c r="A15" s="13">
        <v>14</v>
      </c>
      <c r="B15" s="13" t="inlineStr">
        <is>
          <t xml:space="preserve">M4</t>
        </is>
      </c>
      <c r="C15" s="12">
        <f>START!$C$4+91</f>
        <v>46349</v>
      </c>
      <c r="D15" s="12">
        <f>C15+6</f>
        <v>46355</v>
      </c>
      <c r="E15" s="5" t="inlineStr">
        <is>
          <t xml:space="preserve">Design patterns - only the ones that matter</t>
        </is>
      </c>
      <c r="F15" s="5" t="inlineStr">
        <is>
          <t xml:space="preserve">Dynamic programming part 1</t>
        </is>
      </c>
      <c r="G15" s="5" t="inlineStr">
        <is>
          <t xml:space="preserve">Caching decorator built. 2 more LLDs</t>
        </is>
      </c>
      <c r="H15" s="14"/>
    </row>
    <row r="16" ht="34" customHeight="1">
      <c r="A16" s="11">
        <v>15</v>
      </c>
      <c r="B16" s="11" t="inlineStr">
        <is>
          <t xml:space="preserve">M4</t>
        </is>
      </c>
      <c r="C16" s="3">
        <f>START!$C$4+98</f>
        <v>46356</v>
      </c>
      <c r="D16" s="3">
        <f>C16+6</f>
        <v>46362</v>
      </c>
      <c r="E16" s="2" t="inlineStr">
        <is>
          <t xml:space="preserve">Distributed systems - the hard parts</t>
        </is>
      </c>
      <c r="F16" s="2" t="inlineStr">
        <is>
          <t xml:space="preserve">Mixed medium set</t>
        </is>
      </c>
      <c r="G16" s="2" t="inlineStr">
        <is>
          <t xml:space="preserve">READ DOC 10 THIS WEEK. Project designed before it is built</t>
        </is>
      </c>
      <c r="H16" s="6"/>
    </row>
    <row r="17" ht="34" customHeight="1">
      <c r="A17" s="13">
        <v>16</v>
      </c>
      <c r="B17" s="13" t="inlineStr">
        <is>
          <t xml:space="preserve">M4</t>
        </is>
      </c>
      <c r="C17" s="12">
        <f>START!$C$4+105</f>
        <v>46363</v>
      </c>
      <c r="D17" s="12">
        <f>C17+6</f>
        <v>46369</v>
      </c>
      <c r="E17" s="5" t="inlineStr">
        <is>
          <t xml:space="preserve">PROJECT PHASE 1 - the walking skeleton</t>
        </is>
      </c>
      <c r="F17" s="5" t="inlineStr">
        <is>
          <t xml:space="preserve">Mixed medium set</t>
        </is>
      </c>
      <c r="G17" s="5" t="inlineStr">
        <is>
          <t xml:space="preserve">Month 4 checkpoint. Project runs end to end</t>
        </is>
      </c>
      <c r="H17" s="14"/>
    </row>
    <row r="18" ht="34" customHeight="1">
      <c r="A18" s="11">
        <v>17</v>
      </c>
      <c r="B18" s="11" t="inlineStr">
        <is>
          <t xml:space="preserve">M5</t>
        </is>
      </c>
      <c r="C18" s="3">
        <f>START!$C$4+112</f>
        <v>46370</v>
      </c>
      <c r="D18" s="3">
        <f>C18+6</f>
        <v>46376</v>
      </c>
      <c r="E18" s="2" t="inlineStr">
        <is>
          <t xml:space="preserve">PROJECT PHASE 2 - reliability</t>
        </is>
      </c>
      <c r="F18" s="2" t="inlineStr">
        <is>
          <t xml:space="preserve">Dynamic programming part 2</t>
        </is>
      </c>
      <c r="G18" s="2" t="inlineStr">
        <is>
          <t xml:space="preserve">Phase 2 done. 5 STAR stories written</t>
        </is>
      </c>
      <c r="H18" s="6"/>
    </row>
    <row r="19" ht="34" customHeight="1">
      <c r="A19" s="13">
        <v>18</v>
      </c>
      <c r="B19" s="13" t="inlineStr">
        <is>
          <t xml:space="preserve">M5</t>
        </is>
      </c>
      <c r="C19" s="12">
        <f>START!$C$4+119</f>
        <v>46377</v>
      </c>
      <c r="D19" s="12">
        <f>C19+6</f>
        <v>46383</v>
      </c>
      <c r="E19" s="5" t="inlineStr">
        <is>
          <t xml:space="preserve">PROJECT PHASE 3 - production concerns</t>
        </is>
      </c>
      <c r="F19" s="5" t="inlineStr">
        <is>
          <t xml:space="preserve">Mixed medium set, all timed</t>
        </is>
      </c>
      <c r="G19" s="5" t="inlineStr">
        <is>
          <t xml:space="preserve">Phase 3 done. Dashboard live. 10 stories total</t>
        </is>
      </c>
      <c r="H19" s="14"/>
    </row>
    <row r="20" ht="34" customHeight="1">
      <c r="A20" s="11">
        <v>19</v>
      </c>
      <c r="B20" s="11" t="inlineStr">
        <is>
          <t xml:space="preserve">M5</t>
        </is>
      </c>
      <c r="C20" s="3">
        <f>START!$C$4+126</f>
        <v>46384</v>
      </c>
      <c r="D20" s="3">
        <f>C20+6</f>
        <v>46390</v>
      </c>
      <c r="E20" s="2" t="inlineStr">
        <is>
          <t xml:space="preserve">PROJECT PHASE 4 - ship it</t>
        </is>
      </c>
      <c r="F20" s="2" t="inlineStr">
        <is>
          <t xml:space="preserve">Mixed medium set</t>
        </is>
      </c>
      <c r="G20" s="2" t="inlineStr">
        <is>
          <t xml:space="preserve">Project DEPLOYED with real p95/p99 numbers. 15 stories total</t>
        </is>
      </c>
      <c r="H20" s="6"/>
    </row>
    <row r="21" ht="34" customHeight="1">
      <c r="A21" s="13">
        <v>20</v>
      </c>
      <c r="B21" s="13" t="inlineStr">
        <is>
          <t xml:space="preserve">M5</t>
        </is>
      </c>
      <c r="C21" s="12">
        <f>START!$C$4+133</f>
        <v>46391</v>
      </c>
      <c r="D21" s="12">
        <f>C21+6</f>
        <v>46397</v>
      </c>
      <c r="E21" s="5" t="inlineStr">
        <is>
          <t xml:space="preserve">System design depth and behavioural - THE GATE TO APPLYING</t>
        </is>
      </c>
      <c r="F21" s="5" t="inlineStr">
        <is>
          <t xml:space="preserve">Mixed medium set + full Weak List re-solve</t>
        </is>
      </c>
      <c r="G21" s="5" t="inlineStr">
        <is>
          <t xml:space="preserve">MONTH 5 CHECKPOINT - the gate. All 20 stories recorded</t>
        </is>
      </c>
      <c r="H21" s="14"/>
    </row>
    <row r="22" ht="34" customHeight="1">
      <c r="A22" s="11">
        <v>21</v>
      </c>
      <c r="B22" s="11" t="inlineStr">
        <is>
          <t xml:space="preserve">M6</t>
        </is>
      </c>
      <c r="C22" s="3">
        <f>START!$C$4+140</f>
        <v>46398</v>
      </c>
      <c r="D22" s="3">
        <f>C22+6</f>
        <v>46404</v>
      </c>
      <c r="E22" s="2" t="inlineStr">
        <is>
          <t xml:space="preserve">APPLICATIONS LAUNCH - calibration week</t>
        </is>
      </c>
      <c r="F22" s="2" t="inlineStr">
        <is>
          <t xml:space="preserve">Timed DSA, 2 medium/day</t>
        </is>
      </c>
      <c r="G22" s="2" t="inlineStr">
        <is>
          <t xml:space="preserve">Pipeline live. Applications tracked in the APPLY tab</t>
        </is>
      </c>
      <c r="H22" s="6"/>
    </row>
    <row r="23" ht="34" customHeight="1">
      <c r="A23" s="13">
        <v>22</v>
      </c>
      <c r="B23" s="13" t="inlineStr">
        <is>
          <t xml:space="preserve">M6</t>
        </is>
      </c>
      <c r="C23" s="12">
        <f>START!$C$4+147</f>
        <v>46405</v>
      </c>
      <c r="D23" s="12">
        <f>C23+6</f>
        <v>46411</v>
      </c>
      <c r="E23" s="5" t="inlineStr">
        <is>
          <t xml:space="preserve">Volume and calibration</t>
        </is>
      </c>
      <c r="F23" s="5" t="inlineStr">
        <is>
          <t xml:space="preserve">Timed DSA + 2 external mocks</t>
        </is>
      </c>
      <c r="G23" s="5" t="inlineStr">
        <is>
          <t xml:space="preserve">2 external mocks done. Tier 1 applications out</t>
        </is>
      </c>
      <c r="H23" s="14"/>
    </row>
    <row r="24" ht="34" customHeight="1">
      <c r="A24" s="11">
        <v>23</v>
      </c>
      <c r="B24" s="11" t="inlineStr">
        <is>
          <t xml:space="preserve">M6</t>
        </is>
      </c>
      <c r="C24" s="3">
        <f>START!$C$4+154</f>
        <v>46412</v>
      </c>
      <c r="D24" s="3">
        <f>C24+6</f>
        <v>46418</v>
      </c>
      <c r="E24" s="2" t="inlineStr">
        <is>
          <t xml:space="preserve">AMAZON WEEK - preparation</t>
        </is>
      </c>
      <c r="F24" s="2" t="inlineStr">
        <is>
          <t xml:space="preserve">Amazon-tagged DSA</t>
        </is>
      </c>
      <c r="G24" s="2" t="inlineStr">
        <is>
          <t xml:space="preserve">Amazon application in. Full LP matrix complete</t>
        </is>
      </c>
      <c r="H24" s="6"/>
    </row>
    <row r="25" ht="34" customHeight="1">
      <c r="A25" s="13">
        <v>24</v>
      </c>
      <c r="B25" s="13" t="inlineStr">
        <is>
          <t xml:space="preserve">M6</t>
        </is>
      </c>
      <c r="C25" s="12">
        <f>START!$C$4+161</f>
        <v>46419</v>
      </c>
      <c r="D25" s="12">
        <f>C25+6</f>
        <v>46425</v>
      </c>
      <c r="E25" s="5" t="inlineStr">
        <is>
          <t xml:space="preserve">GOOGLE WEEK - preparation</t>
        </is>
      </c>
      <c r="F25" s="5" t="inlineStr">
        <is>
          <t xml:space="preserve">Google-tagged DSA, NO IDE all week</t>
        </is>
      </c>
      <c r="G25" s="5" t="inlineStr">
        <is>
          <t xml:space="preserve">Month 6 checkpoint. Google application in</t>
        </is>
      </c>
      <c r="H25" s="14"/>
    </row>
    <row r="26" ht="34" customHeight="1">
      <c r="A26" s="11">
        <v>25</v>
      </c>
      <c r="B26" s="11" t="inlineStr">
        <is>
          <t xml:space="preserve">M7</t>
        </is>
      </c>
      <c r="C26" s="3">
        <f>START!$C$4+168</f>
        <v>46426</v>
      </c>
      <c r="D26" s="3">
        <f>C26+6</f>
        <v>46432</v>
      </c>
      <c r="E26" s="2" t="inlineStr">
        <is>
          <t xml:space="preserve">Gap repair and advanced messaging</t>
        </is>
      </c>
      <c r="F26" s="2" t="inlineStr">
        <is>
          <t xml:space="preserve">Timed DSA 2 medium</t>
        </is>
      </c>
      <c r="G26" s="2" t="inlineStr">
        <is>
          <t xml:space="preserve">1 gap closed. RAG skeleton built</t>
        </is>
      </c>
      <c r="H26" s="6"/>
    </row>
    <row r="27" ht="34" customHeight="1">
      <c r="A27" s="13">
        <v>26</v>
      </c>
      <c r="B27" s="13" t="inlineStr">
        <is>
          <t xml:space="preserve">M7</t>
        </is>
      </c>
      <c r="C27" s="12">
        <f>START!$C$4+175</f>
        <v>46433</v>
      </c>
      <c r="D27" s="12">
        <f>C27+6</f>
        <v>46439</v>
      </c>
      <c r="E27" s="5" t="inlineStr">
        <is>
          <t xml:space="preserve">Reliability, scale and the deeper design questions</t>
        </is>
      </c>
      <c r="F27" s="5" t="inlineStr">
        <is>
          <t xml:space="preserve">Timed DSA</t>
        </is>
      </c>
      <c r="G27" s="5" t="inlineStr">
        <is>
          <t xml:space="preserve">Vector search working. Another gap closed</t>
        </is>
      </c>
      <c r="H27" s="14"/>
    </row>
    <row r="28" ht="34" customHeight="1">
      <c r="A28" s="11">
        <v>27</v>
      </c>
      <c r="B28" s="11" t="inlineStr">
        <is>
          <t xml:space="preserve">M7</t>
        </is>
      </c>
      <c r="C28" s="3">
        <f>START!$C$4+182</f>
        <v>46440</v>
      </c>
      <c r="D28" s="3">
        <f>C28+6</f>
        <v>46446</v>
      </c>
      <c r="E28" s="2" t="inlineStr">
        <is>
          <t xml:space="preserve">Company-specific depth</t>
        </is>
      </c>
      <c r="F28" s="2" t="inlineStr">
        <is>
          <t xml:space="preserve">Amazon- and Google-tagged sets</t>
        </is>
      </c>
      <c r="G28" s="2" t="inlineStr">
        <is>
          <t xml:space="preserve">3 weakest stories re-recorded. RAG generating with citations</t>
        </is>
      </c>
      <c r="H28" s="6"/>
    </row>
    <row r="29" ht="34" customHeight="1">
      <c r="A29" s="13">
        <v>28</v>
      </c>
      <c r="B29" s="13" t="inlineStr">
        <is>
          <t xml:space="preserve">M7</t>
        </is>
      </c>
      <c r="C29" s="12">
        <f>START!$C$4+189</f>
        <v>46447</v>
      </c>
      <c r="D29" s="12">
        <f>C29+6</f>
        <v>46453</v>
      </c>
      <c r="E29" s="5" t="inlineStr">
        <is>
          <t xml:space="preserve">Consolidation and the hard round</t>
        </is>
      </c>
      <c r="F29" s="5" t="inlineStr">
        <is>
          <t xml:space="preserve">Selected hard DSA, patterns you own</t>
        </is>
      </c>
      <c r="G29" s="5" t="inlineStr">
        <is>
          <t xml:space="preserve">Month 7 checkpoint. RAG deployed with measured numbers</t>
        </is>
      </c>
      <c r="H29" s="14"/>
    </row>
    <row r="30" ht="34" customHeight="1">
      <c r="A30" s="11">
        <v>29</v>
      </c>
      <c r="B30" s="11" t="inlineStr">
        <is>
          <t xml:space="preserve">M8</t>
        </is>
      </c>
      <c r="C30" s="3">
        <f>START!$C$4+196</f>
        <v>46454</v>
      </c>
      <c r="D30" s="3">
        <f>C30+6</f>
        <v>46460</v>
      </c>
      <c r="E30" s="2" t="inlineStr">
        <is>
          <t xml:space="preserve">Retrieval intensive</t>
        </is>
      </c>
      <c r="F30" s="2" t="inlineStr">
        <is>
          <t xml:space="preserve">Re-solve every missed problem from memory</t>
        </is>
      </c>
      <c r="G30" s="2" t="inlineStr">
        <is>
          <t xml:space="preserve">One-page pattern sheet written by you</t>
        </is>
      </c>
      <c r="H30" s="6"/>
    </row>
    <row r="31" ht="34" customHeight="1">
      <c r="A31" s="13">
        <v>30</v>
      </c>
      <c r="B31" s="13" t="inlineStr">
        <is>
          <t xml:space="preserve">M8</t>
        </is>
      </c>
      <c r="C31" s="12">
        <f>START!$C$4+203</f>
        <v>46461</v>
      </c>
      <c r="D31" s="12">
        <f>C31+6</f>
        <v>46467</v>
      </c>
      <c r="E31" s="5" t="inlineStr">
        <is>
          <t xml:space="preserve">Oral revision and design volume</t>
        </is>
      </c>
      <c r="F31" s="5" t="inlineStr">
        <is>
          <t xml:space="preserve">Timed DSA maintenance</t>
        </is>
      </c>
      <c r="G31" s="5" t="inlineStr">
        <is>
          <t xml:space="preserve">45-minute monologues recorded across all areas</t>
        </is>
      </c>
      <c r="H31" s="14"/>
    </row>
    <row r="32" ht="34" customHeight="1">
      <c r="A32" s="11">
        <v>31</v>
      </c>
      <c r="B32" s="11" t="inlineStr">
        <is>
          <t xml:space="preserve">M8</t>
        </is>
      </c>
      <c r="C32" s="3">
        <f>START!$C$4+210</f>
        <v>46468</v>
      </c>
      <c r="D32" s="3">
        <f>C32+6</f>
        <v>46474</v>
      </c>
      <c r="E32" s="2" t="inlineStr">
        <is>
          <t xml:space="preserve">Peak simulation</t>
        </is>
      </c>
      <c r="F32" s="2" t="inlineStr">
        <is>
          <t xml:space="preserve">Hard DSA in patterns you own</t>
        </is>
      </c>
      <c r="G32" s="2" t="inlineStr">
        <is>
          <t xml:space="preserve">Onsite fatigue simulated. Both projects defended</t>
        </is>
      </c>
      <c r="H32" s="6"/>
    </row>
    <row r="33" ht="34" customHeight="1">
      <c r="A33" s="13">
        <v>32</v>
      </c>
      <c r="B33" s="13" t="inlineStr">
        <is>
          <t xml:space="preserve">M8</t>
        </is>
      </c>
      <c r="C33" s="12">
        <f>START!$C$4+217</f>
        <v>46475</v>
      </c>
      <c r="D33" s="12">
        <f>C33+6</f>
        <v>46481</v>
      </c>
      <c r="E33" s="5" t="inlineStr">
        <is>
          <t xml:space="preserve">CONVERSION - offers and negotiation</t>
        </is>
      </c>
      <c r="F33" s="5" t="inlineStr">
        <is>
          <t xml:space="preserve">Light DSA maintenance only</t>
        </is>
      </c>
      <c r="G33" s="5" t="inlineStr">
        <is>
          <t xml:space="preserve">Final checkpoint. A number you can state calmly</t>
        </is>
      </c>
      <c r="H33" s="14"/>
    </row>
  </sheetData>
  <autoFilter ref="A1:H33"/>
  <pageMargins left="0.5" right="0.5" top="0.5" bottom="0.5" header="0.3" footer="0.3"/>
</worksheet>
</file>

<file path=xl/worksheets/sheet4.xml><?xml version="1.0" encoding="utf-8"?>
<worksheet xmlns="http://schemas.openxmlformats.org/spreadsheetml/2006/main">
  <dimension ref="A1:G302"/>
  <sheetViews>
    <sheetView workbookViewId="0">
      <pane ySplit="1" topLeftCell="A2" activePane="bottomLeft" state="frozen"/>
    </sheetView>
  </sheetViews>
  <sheetFormatPr defaultRowHeight="15"/>
  <cols>
    <col min="1" max="1" width="52" customWidth="1"/>
    <col min="2" max="2" width="13" customWidth="1"/>
    <col min="3" max="3" width="18" customWidth="1"/>
    <col min="4" max="4" width="11" customWidth="1"/>
    <col min="5" max="5" width="11" customWidth="1"/>
    <col min="6" max="6" width="11" customWidth="1"/>
    <col min="7" max="7" width="34" customWidth="1"/>
  </cols>
  <sheetData>
    <row r="1" ht="30" customHeight="1">
      <c r="A1" s="1" t="inlineStr">
        <is>
          <t xml:space="preserve">What I could not recall / explain / solve</t>
        </is>
      </c>
      <c r="B1" s="1" t="inlineStr">
        <is>
          <t xml:space="preserve">Added</t>
        </is>
      </c>
      <c r="C1" s="1" t="inlineStr">
        <is>
          <t xml:space="preserve">Where from</t>
        </is>
      </c>
      <c r="D1" s="1" t="inlineStr">
        <is>
          <t xml:space="preserve">Try 1</t>
        </is>
      </c>
      <c r="E1" s="1" t="inlineStr">
        <is>
          <t xml:space="preserve">Try 2</t>
        </is>
      </c>
      <c r="F1" s="1" t="inlineStr">
        <is>
          <t xml:space="preserve">Cleared</t>
        </is>
      </c>
      <c r="G1" s="1" t="inlineStr">
        <is>
          <t xml:space="preserve">Note</t>
        </is>
      </c>
    </row>
    <row r="2">
      <c r="A2" s="5" t="inlineStr">
        <is>
          <t xml:space="preserve">Why .Result deadlocks</t>
        </is>
      </c>
      <c r="B2" s="12"/>
      <c r="C2" s="5" t="inlineStr">
        <is>
          <t xml:space="preserve">Weekly test</t>
        </is>
      </c>
      <c r="D2" s="13" t="inlineStr">
        <is>
          <t xml:space="preserve">fail</t>
        </is>
      </c>
      <c r="E2" s="13" t="inlineStr">
        <is>
          <t xml:space="preserve">pass</t>
        </is>
      </c>
      <c r="F2" s="13"/>
      <c r="G2" s="5" t="inlineStr">
        <is>
          <t xml:space="preserve">EXAMPLE ROW - delete it</t>
        </is>
      </c>
    </row>
    <row r="3">
      <c r="A3" s="2"/>
      <c r="B3" s="3"/>
      <c r="C3" s="2"/>
      <c r="D3" s="11"/>
      <c r="E3" s="11"/>
      <c r="F3" s="11"/>
      <c r="G3" s="2"/>
    </row>
    <row r="4">
      <c r="A4" s="2"/>
      <c r="B4" s="3"/>
      <c r="C4" s="2"/>
      <c r="D4" s="11"/>
      <c r="E4" s="11"/>
      <c r="F4" s="11"/>
      <c r="G4" s="2"/>
    </row>
    <row r="5">
      <c r="A5" s="2"/>
      <c r="B5" s="3"/>
      <c r="C5" s="2"/>
      <c r="D5" s="11"/>
      <c r="E5" s="11"/>
      <c r="F5" s="11"/>
      <c r="G5" s="2"/>
    </row>
    <row r="6">
      <c r="A6" s="2"/>
      <c r="B6" s="3"/>
      <c r="C6" s="2"/>
      <c r="D6" s="11"/>
      <c r="E6" s="11"/>
      <c r="F6" s="11"/>
      <c r="G6" s="2"/>
    </row>
    <row r="7">
      <c r="A7" s="2"/>
      <c r="B7" s="3"/>
      <c r="C7" s="2"/>
      <c r="D7" s="11"/>
      <c r="E7" s="11"/>
      <c r="F7" s="11"/>
      <c r="G7" s="2"/>
    </row>
    <row r="8">
      <c r="A8" s="2"/>
      <c r="B8" s="3"/>
      <c r="C8" s="2"/>
      <c r="D8" s="11"/>
      <c r="E8" s="11"/>
      <c r="F8" s="11"/>
      <c r="G8" s="2"/>
    </row>
    <row r="9">
      <c r="A9" s="2"/>
      <c r="B9" s="3"/>
      <c r="C9" s="2"/>
      <c r="D9" s="11"/>
      <c r="E9" s="11"/>
      <c r="F9" s="11"/>
      <c r="G9" s="2"/>
    </row>
    <row r="10">
      <c r="A10" s="2"/>
      <c r="B10" s="3"/>
      <c r="C10" s="2"/>
      <c r="D10" s="11"/>
      <c r="E10" s="11"/>
      <c r="F10" s="11"/>
      <c r="G10" s="2"/>
    </row>
    <row r="11">
      <c r="A11" s="2"/>
      <c r="B11" s="3"/>
      <c r="C11" s="2"/>
      <c r="D11" s="11"/>
      <c r="E11" s="11"/>
      <c r="F11" s="11"/>
      <c r="G11" s="2"/>
    </row>
    <row r="12">
      <c r="A12" s="2"/>
      <c r="B12" s="3"/>
      <c r="C12" s="2"/>
      <c r="D12" s="11"/>
      <c r="E12" s="11"/>
      <c r="F12" s="11"/>
      <c r="G12" s="2"/>
    </row>
    <row r="13">
      <c r="A13" s="2"/>
      <c r="B13" s="3"/>
      <c r="C13" s="2"/>
      <c r="D13" s="11"/>
      <c r="E13" s="11"/>
      <c r="F13" s="11"/>
      <c r="G13" s="2"/>
    </row>
    <row r="14">
      <c r="A14" s="2"/>
      <c r="B14" s="3"/>
      <c r="C14" s="2"/>
      <c r="D14" s="11"/>
      <c r="E14" s="11"/>
      <c r="F14" s="11"/>
      <c r="G14" s="2"/>
    </row>
    <row r="15">
      <c r="A15" s="2"/>
      <c r="B15" s="3"/>
      <c r="C15" s="2"/>
      <c r="D15" s="11"/>
      <c r="E15" s="11"/>
      <c r="F15" s="11"/>
      <c r="G15" s="2"/>
    </row>
    <row r="16">
      <c r="A16" s="2"/>
      <c r="B16" s="3"/>
      <c r="C16" s="2"/>
      <c r="D16" s="11"/>
      <c r="E16" s="11"/>
      <c r="F16" s="11"/>
      <c r="G16" s="2"/>
    </row>
    <row r="17">
      <c r="A17" s="2"/>
      <c r="B17" s="3"/>
      <c r="C17" s="2"/>
      <c r="D17" s="11"/>
      <c r="E17" s="11"/>
      <c r="F17" s="11"/>
      <c r="G17" s="2"/>
    </row>
    <row r="18">
      <c r="A18" s="2"/>
      <c r="B18" s="3"/>
      <c r="C18" s="2"/>
      <c r="D18" s="11"/>
      <c r="E18" s="11"/>
      <c r="F18" s="11"/>
      <c r="G18" s="2"/>
    </row>
    <row r="19">
      <c r="A19" s="2"/>
      <c r="B19" s="3"/>
      <c r="C19" s="2"/>
      <c r="D19" s="11"/>
      <c r="E19" s="11"/>
      <c r="F19" s="11"/>
      <c r="G19" s="2"/>
    </row>
    <row r="20">
      <c r="A20" s="2"/>
      <c r="B20" s="3"/>
      <c r="C20" s="2"/>
      <c r="D20" s="11"/>
      <c r="E20" s="11"/>
      <c r="F20" s="11"/>
      <c r="G20" s="2"/>
    </row>
    <row r="21">
      <c r="A21" s="2"/>
      <c r="B21" s="3"/>
      <c r="C21" s="2"/>
      <c r="D21" s="11"/>
      <c r="E21" s="11"/>
      <c r="F21" s="11"/>
      <c r="G21" s="2"/>
    </row>
    <row r="22">
      <c r="A22" s="2"/>
      <c r="B22" s="3"/>
      <c r="C22" s="2"/>
      <c r="D22" s="11"/>
      <c r="E22" s="11"/>
      <c r="F22" s="11"/>
      <c r="G22" s="2"/>
    </row>
    <row r="23">
      <c r="A23" s="2"/>
      <c r="B23" s="3"/>
      <c r="C23" s="2"/>
      <c r="D23" s="11"/>
      <c r="E23" s="11"/>
      <c r="F23" s="11"/>
      <c r="G23" s="2"/>
    </row>
    <row r="24">
      <c r="A24" s="2"/>
      <c r="B24" s="3"/>
      <c r="C24" s="2"/>
      <c r="D24" s="11"/>
      <c r="E24" s="11"/>
      <c r="F24" s="11"/>
      <c r="G24" s="2"/>
    </row>
    <row r="25">
      <c r="A25" s="2"/>
      <c r="B25" s="3"/>
      <c r="C25" s="2"/>
      <c r="D25" s="11"/>
      <c r="E25" s="11"/>
      <c r="F25" s="11"/>
      <c r="G25" s="2"/>
    </row>
    <row r="26">
      <c r="A26" s="2"/>
      <c r="B26" s="3"/>
      <c r="C26" s="2"/>
      <c r="D26" s="11"/>
      <c r="E26" s="11"/>
      <c r="F26" s="11"/>
      <c r="G26" s="2"/>
    </row>
    <row r="27">
      <c r="A27" s="2"/>
      <c r="B27" s="3"/>
      <c r="C27" s="2"/>
      <c r="D27" s="11"/>
      <c r="E27" s="11"/>
      <c r="F27" s="11"/>
      <c r="G27" s="2"/>
    </row>
    <row r="28">
      <c r="A28" s="2"/>
      <c r="B28" s="3"/>
      <c r="C28" s="2"/>
      <c r="D28" s="11"/>
      <c r="E28" s="11"/>
      <c r="F28" s="11"/>
      <c r="G28" s="2"/>
    </row>
    <row r="29">
      <c r="A29" s="2"/>
      <c r="B29" s="3"/>
      <c r="C29" s="2"/>
      <c r="D29" s="11"/>
      <c r="E29" s="11"/>
      <c r="F29" s="11"/>
      <c r="G29" s="2"/>
    </row>
    <row r="30">
      <c r="A30" s="2"/>
      <c r="B30" s="3"/>
      <c r="C30" s="2"/>
      <c r="D30" s="11"/>
      <c r="E30" s="11"/>
      <c r="F30" s="11"/>
      <c r="G30" s="2"/>
    </row>
    <row r="31">
      <c r="A31" s="2"/>
      <c r="B31" s="3"/>
      <c r="C31" s="2"/>
      <c r="D31" s="11"/>
      <c r="E31" s="11"/>
      <c r="F31" s="11"/>
      <c r="G31" s="2"/>
    </row>
    <row r="32">
      <c r="A32" s="2"/>
      <c r="B32" s="3"/>
      <c r="C32" s="2"/>
      <c r="D32" s="11"/>
      <c r="E32" s="11"/>
      <c r="F32" s="11"/>
      <c r="G32" s="2"/>
    </row>
    <row r="33">
      <c r="A33" s="2"/>
      <c r="B33" s="3"/>
      <c r="C33" s="2"/>
      <c r="D33" s="11"/>
      <c r="E33" s="11"/>
      <c r="F33" s="11"/>
      <c r="G33" s="2"/>
    </row>
    <row r="34">
      <c r="A34" s="2"/>
      <c r="B34" s="3"/>
      <c r="C34" s="2"/>
      <c r="D34" s="11"/>
      <c r="E34" s="11"/>
      <c r="F34" s="11"/>
      <c r="G34" s="2"/>
    </row>
    <row r="35">
      <c r="A35" s="2"/>
      <c r="B35" s="3"/>
      <c r="C35" s="2"/>
      <c r="D35" s="11"/>
      <c r="E35" s="11"/>
      <c r="F35" s="11"/>
      <c r="G35" s="2"/>
    </row>
    <row r="36">
      <c r="A36" s="2"/>
      <c r="B36" s="3"/>
      <c r="C36" s="2"/>
      <c r="D36" s="11"/>
      <c r="E36" s="11"/>
      <c r="F36" s="11"/>
      <c r="G36" s="2"/>
    </row>
    <row r="37">
      <c r="A37" s="2"/>
      <c r="B37" s="3"/>
      <c r="C37" s="2"/>
      <c r="D37" s="11"/>
      <c r="E37" s="11"/>
      <c r="F37" s="11"/>
      <c r="G37" s="2"/>
    </row>
    <row r="38">
      <c r="A38" s="2"/>
      <c r="B38" s="3"/>
      <c r="C38" s="2"/>
      <c r="D38" s="11"/>
      <c r="E38" s="11"/>
      <c r="F38" s="11"/>
      <c r="G38" s="2"/>
    </row>
    <row r="39">
      <c r="A39" s="2"/>
      <c r="B39" s="3"/>
      <c r="C39" s="2"/>
      <c r="D39" s="11"/>
      <c r="E39" s="11"/>
      <c r="F39" s="11"/>
      <c r="G39" s="2"/>
    </row>
    <row r="40">
      <c r="A40" s="2"/>
      <c r="B40" s="3"/>
      <c r="C40" s="2"/>
      <c r="D40" s="11"/>
      <c r="E40" s="11"/>
      <c r="F40" s="11"/>
      <c r="G40" s="2"/>
    </row>
    <row r="41">
      <c r="A41" s="2"/>
      <c r="B41" s="3"/>
      <c r="C41" s="2"/>
      <c r="D41" s="11"/>
      <c r="E41" s="11"/>
      <c r="F41" s="11"/>
      <c r="G41" s="2"/>
    </row>
    <row r="42">
      <c r="A42" s="2"/>
      <c r="B42" s="3"/>
      <c r="C42" s="2"/>
      <c r="D42" s="11"/>
      <c r="E42" s="11"/>
      <c r="F42" s="11"/>
      <c r="G42" s="2"/>
    </row>
    <row r="43">
      <c r="A43" s="2"/>
      <c r="B43" s="3"/>
      <c r="C43" s="2"/>
      <c r="D43" s="11"/>
      <c r="E43" s="11"/>
      <c r="F43" s="11"/>
      <c r="G43" s="2"/>
    </row>
    <row r="44">
      <c r="A44" s="2"/>
      <c r="B44" s="3"/>
      <c r="C44" s="2"/>
      <c r="D44" s="11"/>
      <c r="E44" s="11"/>
      <c r="F44" s="11"/>
      <c r="G44" s="2"/>
    </row>
    <row r="45">
      <c r="A45" s="2"/>
      <c r="B45" s="3"/>
      <c r="C45" s="2"/>
      <c r="D45" s="11"/>
      <c r="E45" s="11"/>
      <c r="F45" s="11"/>
      <c r="G45" s="2"/>
    </row>
    <row r="46">
      <c r="A46" s="2"/>
      <c r="B46" s="3"/>
      <c r="C46" s="2"/>
      <c r="D46" s="11"/>
      <c r="E46" s="11"/>
      <c r="F46" s="11"/>
      <c r="G46" s="2"/>
    </row>
    <row r="47">
      <c r="A47" s="2"/>
      <c r="B47" s="3"/>
      <c r="C47" s="2"/>
      <c r="D47" s="11"/>
      <c r="E47" s="11"/>
      <c r="F47" s="11"/>
      <c r="G47" s="2"/>
    </row>
    <row r="48">
      <c r="A48" s="2"/>
      <c r="B48" s="3"/>
      <c r="C48" s="2"/>
      <c r="D48" s="11"/>
      <c r="E48" s="11"/>
      <c r="F48" s="11"/>
      <c r="G48" s="2"/>
    </row>
    <row r="49">
      <c r="A49" s="2"/>
      <c r="B49" s="3"/>
      <c r="C49" s="2"/>
      <c r="D49" s="11"/>
      <c r="E49" s="11"/>
      <c r="F49" s="11"/>
      <c r="G49" s="2"/>
    </row>
    <row r="50">
      <c r="A50" s="2"/>
      <c r="B50" s="3"/>
      <c r="C50" s="2"/>
      <c r="D50" s="11"/>
      <c r="E50" s="11"/>
      <c r="F50" s="11"/>
      <c r="G50" s="2"/>
    </row>
    <row r="51">
      <c r="A51" s="2"/>
      <c r="B51" s="3"/>
      <c r="C51" s="2"/>
      <c r="D51" s="11"/>
      <c r="E51" s="11"/>
      <c r="F51" s="11"/>
      <c r="G51" s="2"/>
    </row>
    <row r="52">
      <c r="A52" s="2"/>
      <c r="B52" s="3"/>
      <c r="C52" s="2"/>
      <c r="D52" s="11"/>
      <c r="E52" s="11"/>
      <c r="F52" s="11"/>
      <c r="G52" s="2"/>
    </row>
    <row r="53">
      <c r="A53" s="2"/>
      <c r="B53" s="3"/>
      <c r="C53" s="2"/>
      <c r="D53" s="11"/>
      <c r="E53" s="11"/>
      <c r="F53" s="11"/>
      <c r="G53" s="2"/>
    </row>
    <row r="54">
      <c r="A54" s="2"/>
      <c r="B54" s="3"/>
      <c r="C54" s="2"/>
      <c r="D54" s="11"/>
      <c r="E54" s="11"/>
      <c r="F54" s="11"/>
      <c r="G54" s="2"/>
    </row>
    <row r="55">
      <c r="A55" s="2"/>
      <c r="B55" s="3"/>
      <c r="C55" s="2"/>
      <c r="D55" s="11"/>
      <c r="E55" s="11"/>
      <c r="F55" s="11"/>
      <c r="G55" s="2"/>
    </row>
    <row r="56">
      <c r="A56" s="2"/>
      <c r="B56" s="3"/>
      <c r="C56" s="2"/>
      <c r="D56" s="11"/>
      <c r="E56" s="11"/>
      <c r="F56" s="11"/>
      <c r="G56" s="2"/>
    </row>
    <row r="57">
      <c r="A57" s="2"/>
      <c r="B57" s="3"/>
      <c r="C57" s="2"/>
      <c r="D57" s="11"/>
      <c r="E57" s="11"/>
      <c r="F57" s="11"/>
      <c r="G57" s="2"/>
    </row>
    <row r="58">
      <c r="A58" s="2"/>
      <c r="B58" s="3"/>
      <c r="C58" s="2"/>
      <c r="D58" s="11"/>
      <c r="E58" s="11"/>
      <c r="F58" s="11"/>
      <c r="G58" s="2"/>
    </row>
    <row r="59">
      <c r="A59" s="2"/>
      <c r="B59" s="3"/>
      <c r="C59" s="2"/>
      <c r="D59" s="11"/>
      <c r="E59" s="11"/>
      <c r="F59" s="11"/>
      <c r="G59" s="2"/>
    </row>
    <row r="60">
      <c r="A60" s="2"/>
      <c r="B60" s="3"/>
      <c r="C60" s="2"/>
      <c r="D60" s="11"/>
      <c r="E60" s="11"/>
      <c r="F60" s="11"/>
      <c r="G60" s="2"/>
    </row>
    <row r="61">
      <c r="A61" s="2"/>
      <c r="B61" s="3"/>
      <c r="C61" s="2"/>
      <c r="D61" s="11"/>
      <c r="E61" s="11"/>
      <c r="F61" s="11"/>
      <c r="G61" s="2"/>
    </row>
    <row r="62">
      <c r="A62" s="2"/>
      <c r="B62" s="3"/>
      <c r="C62" s="2"/>
      <c r="D62" s="11"/>
      <c r="E62" s="11"/>
      <c r="F62" s="11"/>
      <c r="G62" s="2"/>
    </row>
    <row r="63">
      <c r="A63" s="2"/>
      <c r="B63" s="3"/>
      <c r="C63" s="2"/>
      <c r="D63" s="11"/>
      <c r="E63" s="11"/>
      <c r="F63" s="11"/>
      <c r="G63" s="2"/>
    </row>
    <row r="64">
      <c r="A64" s="2"/>
      <c r="B64" s="3"/>
      <c r="C64" s="2"/>
      <c r="D64" s="11"/>
      <c r="E64" s="11"/>
      <c r="F64" s="11"/>
      <c r="G64" s="2"/>
    </row>
    <row r="65">
      <c r="A65" s="2"/>
      <c r="B65" s="3"/>
      <c r="C65" s="2"/>
      <c r="D65" s="11"/>
      <c r="E65" s="11"/>
      <c r="F65" s="11"/>
      <c r="G65" s="2"/>
    </row>
    <row r="66">
      <c r="A66" s="2"/>
      <c r="B66" s="3"/>
      <c r="C66" s="2"/>
      <c r="D66" s="11"/>
      <c r="E66" s="11"/>
      <c r="F66" s="11"/>
      <c r="G66" s="2"/>
    </row>
    <row r="67">
      <c r="A67" s="2"/>
      <c r="B67" s="3"/>
      <c r="C67" s="2"/>
      <c r="D67" s="11"/>
      <c r="E67" s="11"/>
      <c r="F67" s="11"/>
      <c r="G67" s="2"/>
    </row>
    <row r="68">
      <c r="A68" s="2"/>
      <c r="B68" s="3"/>
      <c r="C68" s="2"/>
      <c r="D68" s="11"/>
      <c r="E68" s="11"/>
      <c r="F68" s="11"/>
      <c r="G68" s="2"/>
    </row>
    <row r="69">
      <c r="A69" s="2"/>
      <c r="B69" s="3"/>
      <c r="C69" s="2"/>
      <c r="D69" s="11"/>
      <c r="E69" s="11"/>
      <c r="F69" s="11"/>
      <c r="G69" s="2"/>
    </row>
    <row r="70">
      <c r="A70" s="2"/>
      <c r="B70" s="3"/>
      <c r="C70" s="2"/>
      <c r="D70" s="11"/>
      <c r="E70" s="11"/>
      <c r="F70" s="11"/>
      <c r="G70" s="2"/>
    </row>
    <row r="71">
      <c r="A71" s="2"/>
      <c r="B71" s="3"/>
      <c r="C71" s="2"/>
      <c r="D71" s="11"/>
      <c r="E71" s="11"/>
      <c r="F71" s="11"/>
      <c r="G71" s="2"/>
    </row>
    <row r="72">
      <c r="A72" s="2"/>
      <c r="B72" s="3"/>
      <c r="C72" s="2"/>
      <c r="D72" s="11"/>
      <c r="E72" s="11"/>
      <c r="F72" s="11"/>
      <c r="G72" s="2"/>
    </row>
    <row r="73">
      <c r="A73" s="2"/>
      <c r="B73" s="3"/>
      <c r="C73" s="2"/>
      <c r="D73" s="11"/>
      <c r="E73" s="11"/>
      <c r="F73" s="11"/>
      <c r="G73" s="2"/>
    </row>
    <row r="74">
      <c r="A74" s="2"/>
      <c r="B74" s="3"/>
      <c r="C74" s="2"/>
      <c r="D74" s="11"/>
      <c r="E74" s="11"/>
      <c r="F74" s="11"/>
      <c r="G74" s="2"/>
    </row>
    <row r="75">
      <c r="A75" s="2"/>
      <c r="B75" s="3"/>
      <c r="C75" s="2"/>
      <c r="D75" s="11"/>
      <c r="E75" s="11"/>
      <c r="F75" s="11"/>
      <c r="G75" s="2"/>
    </row>
    <row r="76">
      <c r="A76" s="2"/>
      <c r="B76" s="3"/>
      <c r="C76" s="2"/>
      <c r="D76" s="11"/>
      <c r="E76" s="11"/>
      <c r="F76" s="11"/>
      <c r="G76" s="2"/>
    </row>
    <row r="77">
      <c r="A77" s="2"/>
      <c r="B77" s="3"/>
      <c r="C77" s="2"/>
      <c r="D77" s="11"/>
      <c r="E77" s="11"/>
      <c r="F77" s="11"/>
      <c r="G77" s="2"/>
    </row>
    <row r="78">
      <c r="A78" s="2"/>
      <c r="B78" s="3"/>
      <c r="C78" s="2"/>
      <c r="D78" s="11"/>
      <c r="E78" s="11"/>
      <c r="F78" s="11"/>
      <c r="G78" s="2"/>
    </row>
    <row r="79">
      <c r="A79" s="2"/>
      <c r="B79" s="3"/>
      <c r="C79" s="2"/>
      <c r="D79" s="11"/>
      <c r="E79" s="11"/>
      <c r="F79" s="11"/>
      <c r="G79" s="2"/>
    </row>
    <row r="80">
      <c r="A80" s="2"/>
      <c r="B80" s="3"/>
      <c r="C80" s="2"/>
      <c r="D80" s="11"/>
      <c r="E80" s="11"/>
      <c r="F80" s="11"/>
      <c r="G80" s="2"/>
    </row>
    <row r="81">
      <c r="A81" s="2"/>
      <c r="B81" s="3"/>
      <c r="C81" s="2"/>
      <c r="D81" s="11"/>
      <c r="E81" s="11"/>
      <c r="F81" s="11"/>
      <c r="G81" s="2"/>
    </row>
    <row r="82">
      <c r="A82" s="2"/>
      <c r="B82" s="3"/>
      <c r="C82" s="2"/>
      <c r="D82" s="11"/>
      <c r="E82" s="11"/>
      <c r="F82" s="11"/>
      <c r="G82" s="2"/>
    </row>
    <row r="83">
      <c r="A83" s="2"/>
      <c r="B83" s="3"/>
      <c r="C83" s="2"/>
      <c r="D83" s="11"/>
      <c r="E83" s="11"/>
      <c r="F83" s="11"/>
      <c r="G83" s="2"/>
    </row>
    <row r="84">
      <c r="A84" s="2"/>
      <c r="B84" s="3"/>
      <c r="C84" s="2"/>
      <c r="D84" s="11"/>
      <c r="E84" s="11"/>
      <c r="F84" s="11"/>
      <c r="G84" s="2"/>
    </row>
    <row r="85">
      <c r="A85" s="2"/>
      <c r="B85" s="3"/>
      <c r="C85" s="2"/>
      <c r="D85" s="11"/>
      <c r="E85" s="11"/>
      <c r="F85" s="11"/>
      <c r="G85" s="2"/>
    </row>
    <row r="86">
      <c r="A86" s="2"/>
      <c r="B86" s="3"/>
      <c r="C86" s="2"/>
      <c r="D86" s="11"/>
      <c r="E86" s="11"/>
      <c r="F86" s="11"/>
      <c r="G86" s="2"/>
    </row>
    <row r="87">
      <c r="A87" s="2"/>
      <c r="B87" s="3"/>
      <c r="C87" s="2"/>
      <c r="D87" s="11"/>
      <c r="E87" s="11"/>
      <c r="F87" s="11"/>
      <c r="G87" s="2"/>
    </row>
    <row r="88">
      <c r="A88" s="2"/>
      <c r="B88" s="3"/>
      <c r="C88" s="2"/>
      <c r="D88" s="11"/>
      <c r="E88" s="11"/>
      <c r="F88" s="11"/>
      <c r="G88" s="2"/>
    </row>
    <row r="89">
      <c r="A89" s="2"/>
      <c r="B89" s="3"/>
      <c r="C89" s="2"/>
      <c r="D89" s="11"/>
      <c r="E89" s="11"/>
      <c r="F89" s="11"/>
      <c r="G89" s="2"/>
    </row>
    <row r="90">
      <c r="A90" s="2"/>
      <c r="B90" s="3"/>
      <c r="C90" s="2"/>
      <c r="D90" s="11"/>
      <c r="E90" s="11"/>
      <c r="F90" s="11"/>
      <c r="G90" s="2"/>
    </row>
    <row r="91">
      <c r="A91" s="2"/>
      <c r="B91" s="3"/>
      <c r="C91" s="2"/>
      <c r="D91" s="11"/>
      <c r="E91" s="11"/>
      <c r="F91" s="11"/>
      <c r="G91" s="2"/>
    </row>
    <row r="92">
      <c r="A92" s="2"/>
      <c r="B92" s="3"/>
      <c r="C92" s="2"/>
      <c r="D92" s="11"/>
      <c r="E92" s="11"/>
      <c r="F92" s="11"/>
      <c r="G92" s="2"/>
    </row>
    <row r="93">
      <c r="A93" s="2"/>
      <c r="B93" s="3"/>
      <c r="C93" s="2"/>
      <c r="D93" s="11"/>
      <c r="E93" s="11"/>
      <c r="F93" s="11"/>
      <c r="G93" s="2"/>
    </row>
    <row r="94">
      <c r="A94" s="2"/>
      <c r="B94" s="3"/>
      <c r="C94" s="2"/>
      <c r="D94" s="11"/>
      <c r="E94" s="11"/>
      <c r="F94" s="11"/>
      <c r="G94" s="2"/>
    </row>
    <row r="95">
      <c r="A95" s="2"/>
      <c r="B95" s="3"/>
      <c r="C95" s="2"/>
      <c r="D95" s="11"/>
      <c r="E95" s="11"/>
      <c r="F95" s="11"/>
      <c r="G95" s="2"/>
    </row>
    <row r="96">
      <c r="A96" s="2"/>
      <c r="B96" s="3"/>
      <c r="C96" s="2"/>
      <c r="D96" s="11"/>
      <c r="E96" s="11"/>
      <c r="F96" s="11"/>
      <c r="G96" s="2"/>
    </row>
    <row r="97">
      <c r="A97" s="2"/>
      <c r="B97" s="3"/>
      <c r="C97" s="2"/>
      <c r="D97" s="11"/>
      <c r="E97" s="11"/>
      <c r="F97" s="11"/>
      <c r="G97" s="2"/>
    </row>
    <row r="98">
      <c r="A98" s="2"/>
      <c r="B98" s="3"/>
      <c r="C98" s="2"/>
      <c r="D98" s="11"/>
      <c r="E98" s="11"/>
      <c r="F98" s="11"/>
      <c r="G98" s="2"/>
    </row>
    <row r="99">
      <c r="A99" s="2"/>
      <c r="B99" s="3"/>
      <c r="C99" s="2"/>
      <c r="D99" s="11"/>
      <c r="E99" s="11"/>
      <c r="F99" s="11"/>
      <c r="G99" s="2"/>
    </row>
    <row r="100">
      <c r="A100" s="2"/>
      <c r="B100" s="3"/>
      <c r="C100" s="2"/>
      <c r="D100" s="11"/>
      <c r="E100" s="11"/>
      <c r="F100" s="11"/>
      <c r="G100" s="2"/>
    </row>
    <row r="101">
      <c r="A101" s="2"/>
      <c r="B101" s="3"/>
      <c r="C101" s="2"/>
      <c r="D101" s="11"/>
      <c r="E101" s="11"/>
      <c r="F101" s="11"/>
      <c r="G101" s="2"/>
    </row>
    <row r="102">
      <c r="A102" s="2"/>
      <c r="B102" s="3"/>
      <c r="C102" s="2"/>
      <c r="D102" s="11"/>
      <c r="E102" s="11"/>
      <c r="F102" s="11"/>
      <c r="G102" s="2"/>
    </row>
    <row r="103">
      <c r="A103" s="2"/>
      <c r="B103" s="3"/>
      <c r="C103" s="2"/>
      <c r="D103" s="11"/>
      <c r="E103" s="11"/>
      <c r="F103" s="11"/>
      <c r="G103" s="2"/>
    </row>
    <row r="104">
      <c r="A104" s="2"/>
      <c r="B104" s="3"/>
      <c r="C104" s="2"/>
      <c r="D104" s="11"/>
      <c r="E104" s="11"/>
      <c r="F104" s="11"/>
      <c r="G104" s="2"/>
    </row>
    <row r="105">
      <c r="A105" s="2"/>
      <c r="B105" s="3"/>
      <c r="C105" s="2"/>
      <c r="D105" s="11"/>
      <c r="E105" s="11"/>
      <c r="F105" s="11"/>
      <c r="G105" s="2"/>
    </row>
    <row r="106">
      <c r="A106" s="2"/>
      <c r="B106" s="3"/>
      <c r="C106" s="2"/>
      <c r="D106" s="11"/>
      <c r="E106" s="11"/>
      <c r="F106" s="11"/>
      <c r="G106" s="2"/>
    </row>
    <row r="107">
      <c r="A107" s="2"/>
      <c r="B107" s="3"/>
      <c r="C107" s="2"/>
      <c r="D107" s="11"/>
      <c r="E107" s="11"/>
      <c r="F107" s="11"/>
      <c r="G107" s="2"/>
    </row>
    <row r="108">
      <c r="A108" s="2"/>
      <c r="B108" s="3"/>
      <c r="C108" s="2"/>
      <c r="D108" s="11"/>
      <c r="E108" s="11"/>
      <c r="F108" s="11"/>
      <c r="G108" s="2"/>
    </row>
    <row r="109">
      <c r="A109" s="2"/>
      <c r="B109" s="3"/>
      <c r="C109" s="2"/>
      <c r="D109" s="11"/>
      <c r="E109" s="11"/>
      <c r="F109" s="11"/>
      <c r="G109" s="2"/>
    </row>
    <row r="110">
      <c r="A110" s="2"/>
      <c r="B110" s="3"/>
      <c r="C110" s="2"/>
      <c r="D110" s="11"/>
      <c r="E110" s="11"/>
      <c r="F110" s="11"/>
      <c r="G110" s="2"/>
    </row>
    <row r="111">
      <c r="A111" s="2"/>
      <c r="B111" s="3"/>
      <c r="C111" s="2"/>
      <c r="D111" s="11"/>
      <c r="E111" s="11"/>
      <c r="F111" s="11"/>
      <c r="G111" s="2"/>
    </row>
    <row r="112">
      <c r="A112" s="2"/>
      <c r="B112" s="3"/>
      <c r="C112" s="2"/>
      <c r="D112" s="11"/>
      <c r="E112" s="11"/>
      <c r="F112" s="11"/>
      <c r="G112" s="2"/>
    </row>
    <row r="113">
      <c r="A113" s="2"/>
      <c r="B113" s="3"/>
      <c r="C113" s="2"/>
      <c r="D113" s="11"/>
      <c r="E113" s="11"/>
      <c r="F113" s="11"/>
      <c r="G113" s="2"/>
    </row>
    <row r="114">
      <c r="A114" s="2"/>
      <c r="B114" s="3"/>
      <c r="C114" s="2"/>
      <c r="D114" s="11"/>
      <c r="E114" s="11"/>
      <c r="F114" s="11"/>
      <c r="G114" s="2"/>
    </row>
    <row r="115">
      <c r="A115" s="2"/>
      <c r="B115" s="3"/>
      <c r="C115" s="2"/>
      <c r="D115" s="11"/>
      <c r="E115" s="11"/>
      <c r="F115" s="11"/>
      <c r="G115" s="2"/>
    </row>
    <row r="116">
      <c r="A116" s="2"/>
      <c r="B116" s="3"/>
      <c r="C116" s="2"/>
      <c r="D116" s="11"/>
      <c r="E116" s="11"/>
      <c r="F116" s="11"/>
      <c r="G116" s="2"/>
    </row>
    <row r="117">
      <c r="A117" s="2"/>
      <c r="B117" s="3"/>
      <c r="C117" s="2"/>
      <c r="D117" s="11"/>
      <c r="E117" s="11"/>
      <c r="F117" s="11"/>
      <c r="G117" s="2"/>
    </row>
    <row r="118">
      <c r="A118" s="2"/>
      <c r="B118" s="3"/>
      <c r="C118" s="2"/>
      <c r="D118" s="11"/>
      <c r="E118" s="11"/>
      <c r="F118" s="11"/>
      <c r="G118" s="2"/>
    </row>
    <row r="119">
      <c r="A119" s="2"/>
      <c r="B119" s="3"/>
      <c r="C119" s="2"/>
      <c r="D119" s="11"/>
      <c r="E119" s="11"/>
      <c r="F119" s="11"/>
      <c r="G119" s="2"/>
    </row>
    <row r="120">
      <c r="A120" s="2"/>
      <c r="B120" s="3"/>
      <c r="C120" s="2"/>
      <c r="D120" s="11"/>
      <c r="E120" s="11"/>
      <c r="F120" s="11"/>
      <c r="G120" s="2"/>
    </row>
    <row r="121">
      <c r="A121" s="2"/>
      <c r="B121" s="3"/>
      <c r="C121" s="2"/>
      <c r="D121" s="11"/>
      <c r="E121" s="11"/>
      <c r="F121" s="11"/>
      <c r="G121" s="2"/>
    </row>
    <row r="122">
      <c r="A122" s="2"/>
      <c r="B122" s="3"/>
      <c r="C122" s="2"/>
      <c r="D122" s="11"/>
      <c r="E122" s="11"/>
      <c r="F122" s="11"/>
      <c r="G122" s="2"/>
    </row>
    <row r="123">
      <c r="A123" s="2"/>
      <c r="B123" s="3"/>
      <c r="C123" s="2"/>
      <c r="D123" s="11"/>
      <c r="E123" s="11"/>
      <c r="F123" s="11"/>
      <c r="G123" s="2"/>
    </row>
    <row r="124">
      <c r="A124" s="2"/>
      <c r="B124" s="3"/>
      <c r="C124" s="2"/>
      <c r="D124" s="11"/>
      <c r="E124" s="11"/>
      <c r="F124" s="11"/>
      <c r="G124" s="2"/>
    </row>
    <row r="125">
      <c r="A125" s="2"/>
      <c r="B125" s="3"/>
      <c r="C125" s="2"/>
      <c r="D125" s="11"/>
      <c r="E125" s="11"/>
      <c r="F125" s="11"/>
      <c r="G125" s="2"/>
    </row>
    <row r="126">
      <c r="A126" s="2"/>
      <c r="B126" s="3"/>
      <c r="C126" s="2"/>
      <c r="D126" s="11"/>
      <c r="E126" s="11"/>
      <c r="F126" s="11"/>
      <c r="G126" s="2"/>
    </row>
    <row r="127">
      <c r="A127" s="2"/>
      <c r="B127" s="3"/>
      <c r="C127" s="2"/>
      <c r="D127" s="11"/>
      <c r="E127" s="11"/>
      <c r="F127" s="11"/>
      <c r="G127" s="2"/>
    </row>
    <row r="128">
      <c r="A128" s="2"/>
      <c r="B128" s="3"/>
      <c r="C128" s="2"/>
      <c r="D128" s="11"/>
      <c r="E128" s="11"/>
      <c r="F128" s="11"/>
      <c r="G128" s="2"/>
    </row>
    <row r="129">
      <c r="A129" s="2"/>
      <c r="B129" s="3"/>
      <c r="C129" s="2"/>
      <c r="D129" s="11"/>
      <c r="E129" s="11"/>
      <c r="F129" s="11"/>
      <c r="G129" s="2"/>
    </row>
    <row r="130">
      <c r="A130" s="2"/>
      <c r="B130" s="3"/>
      <c r="C130" s="2"/>
      <c r="D130" s="11"/>
      <c r="E130" s="11"/>
      <c r="F130" s="11"/>
      <c r="G130" s="2"/>
    </row>
    <row r="131">
      <c r="A131" s="2"/>
      <c r="B131" s="3"/>
      <c r="C131" s="2"/>
      <c r="D131" s="11"/>
      <c r="E131" s="11"/>
      <c r="F131" s="11"/>
      <c r="G131" s="2"/>
    </row>
    <row r="132">
      <c r="A132" s="2"/>
      <c r="B132" s="3"/>
      <c r="C132" s="2"/>
      <c r="D132" s="11"/>
      <c r="E132" s="11"/>
      <c r="F132" s="11"/>
      <c r="G132" s="2"/>
    </row>
    <row r="133">
      <c r="A133" s="2"/>
      <c r="B133" s="3"/>
      <c r="C133" s="2"/>
      <c r="D133" s="11"/>
      <c r="E133" s="11"/>
      <c r="F133" s="11"/>
      <c r="G133" s="2"/>
    </row>
    <row r="134">
      <c r="A134" s="2"/>
      <c r="B134" s="3"/>
      <c r="C134" s="2"/>
      <c r="D134" s="11"/>
      <c r="E134" s="11"/>
      <c r="F134" s="11"/>
      <c r="G134" s="2"/>
    </row>
    <row r="135">
      <c r="A135" s="2"/>
      <c r="B135" s="3"/>
      <c r="C135" s="2"/>
      <c r="D135" s="11"/>
      <c r="E135" s="11"/>
      <c r="F135" s="11"/>
      <c r="G135" s="2"/>
    </row>
    <row r="136">
      <c r="A136" s="2"/>
      <c r="B136" s="3"/>
      <c r="C136" s="2"/>
      <c r="D136" s="11"/>
      <c r="E136" s="11"/>
      <c r="F136" s="11"/>
      <c r="G136" s="2"/>
    </row>
    <row r="137">
      <c r="A137" s="2"/>
      <c r="B137" s="3"/>
      <c r="C137" s="2"/>
      <c r="D137" s="11"/>
      <c r="E137" s="11"/>
      <c r="F137" s="11"/>
      <c r="G137" s="2"/>
    </row>
    <row r="138">
      <c r="A138" s="2"/>
      <c r="B138" s="3"/>
      <c r="C138" s="2"/>
      <c r="D138" s="11"/>
      <c r="E138" s="11"/>
      <c r="F138" s="11"/>
      <c r="G138" s="2"/>
    </row>
    <row r="139">
      <c r="A139" s="2"/>
      <c r="B139" s="3"/>
      <c r="C139" s="2"/>
      <c r="D139" s="11"/>
      <c r="E139" s="11"/>
      <c r="F139" s="11"/>
      <c r="G139" s="2"/>
    </row>
    <row r="140">
      <c r="A140" s="2"/>
      <c r="B140" s="3"/>
      <c r="C140" s="2"/>
      <c r="D140" s="11"/>
      <c r="E140" s="11"/>
      <c r="F140" s="11"/>
      <c r="G140" s="2"/>
    </row>
    <row r="141">
      <c r="A141" s="2"/>
      <c r="B141" s="3"/>
      <c r="C141" s="2"/>
      <c r="D141" s="11"/>
      <c r="E141" s="11"/>
      <c r="F141" s="11"/>
      <c r="G141" s="2"/>
    </row>
    <row r="142">
      <c r="A142" s="2"/>
      <c r="B142" s="3"/>
      <c r="C142" s="2"/>
      <c r="D142" s="11"/>
      <c r="E142" s="11"/>
      <c r="F142" s="11"/>
      <c r="G142" s="2"/>
    </row>
    <row r="143">
      <c r="A143" s="2"/>
      <c r="B143" s="3"/>
      <c r="C143" s="2"/>
      <c r="D143" s="11"/>
      <c r="E143" s="11"/>
      <c r="F143" s="11"/>
      <c r="G143" s="2"/>
    </row>
    <row r="144">
      <c r="A144" s="2"/>
      <c r="B144" s="3"/>
      <c r="C144" s="2"/>
      <c r="D144" s="11"/>
      <c r="E144" s="11"/>
      <c r="F144" s="11"/>
      <c r="G144" s="2"/>
    </row>
    <row r="145">
      <c r="A145" s="2"/>
      <c r="B145" s="3"/>
      <c r="C145" s="2"/>
      <c r="D145" s="11"/>
      <c r="E145" s="11"/>
      <c r="F145" s="11"/>
      <c r="G145" s="2"/>
    </row>
    <row r="146">
      <c r="A146" s="2"/>
      <c r="B146" s="3"/>
      <c r="C146" s="2"/>
      <c r="D146" s="11"/>
      <c r="E146" s="11"/>
      <c r="F146" s="11"/>
      <c r="G146" s="2"/>
    </row>
    <row r="147">
      <c r="A147" s="2"/>
      <c r="B147" s="3"/>
      <c r="C147" s="2"/>
      <c r="D147" s="11"/>
      <c r="E147" s="11"/>
      <c r="F147" s="11"/>
      <c r="G147" s="2"/>
    </row>
    <row r="148">
      <c r="A148" s="2"/>
      <c r="B148" s="3"/>
      <c r="C148" s="2"/>
      <c r="D148" s="11"/>
      <c r="E148" s="11"/>
      <c r="F148" s="11"/>
      <c r="G148" s="2"/>
    </row>
    <row r="149">
      <c r="A149" s="2"/>
      <c r="B149" s="3"/>
      <c r="C149" s="2"/>
      <c r="D149" s="11"/>
      <c r="E149" s="11"/>
      <c r="F149" s="11"/>
      <c r="G149" s="2"/>
    </row>
    <row r="150">
      <c r="A150" s="2"/>
      <c r="B150" s="3"/>
      <c r="C150" s="2"/>
      <c r="D150" s="11"/>
      <c r="E150" s="11"/>
      <c r="F150" s="11"/>
      <c r="G150" s="2"/>
    </row>
    <row r="151">
      <c r="A151" s="2"/>
      <c r="B151" s="3"/>
      <c r="C151" s="2"/>
      <c r="D151" s="11"/>
      <c r="E151" s="11"/>
      <c r="F151" s="11"/>
      <c r="G151" s="2"/>
    </row>
    <row r="152">
      <c r="A152" s="2"/>
      <c r="B152" s="3"/>
      <c r="C152" s="2"/>
      <c r="D152" s="11"/>
      <c r="E152" s="11"/>
      <c r="F152" s="11"/>
      <c r="G152" s="2"/>
    </row>
    <row r="153">
      <c r="A153" s="2"/>
      <c r="B153" s="3"/>
      <c r="C153" s="2"/>
      <c r="D153" s="11"/>
      <c r="E153" s="11"/>
      <c r="F153" s="11"/>
      <c r="G153" s="2"/>
    </row>
    <row r="154">
      <c r="A154" s="2"/>
      <c r="B154" s="3"/>
      <c r="C154" s="2"/>
      <c r="D154" s="11"/>
      <c r="E154" s="11"/>
      <c r="F154" s="11"/>
      <c r="G154" s="2"/>
    </row>
    <row r="155">
      <c r="A155" s="2"/>
      <c r="B155" s="3"/>
      <c r="C155" s="2"/>
      <c r="D155" s="11"/>
      <c r="E155" s="11"/>
      <c r="F155" s="11"/>
      <c r="G155" s="2"/>
    </row>
    <row r="156">
      <c r="A156" s="2"/>
      <c r="B156" s="3"/>
      <c r="C156" s="2"/>
      <c r="D156" s="11"/>
      <c r="E156" s="11"/>
      <c r="F156" s="11"/>
      <c r="G156" s="2"/>
    </row>
    <row r="157">
      <c r="A157" s="2"/>
      <c r="B157" s="3"/>
      <c r="C157" s="2"/>
      <c r="D157" s="11"/>
      <c r="E157" s="11"/>
      <c r="F157" s="11"/>
      <c r="G157" s="2"/>
    </row>
    <row r="158">
      <c r="A158" s="2"/>
      <c r="B158" s="3"/>
      <c r="C158" s="2"/>
      <c r="D158" s="11"/>
      <c r="E158" s="11"/>
      <c r="F158" s="11"/>
      <c r="G158" s="2"/>
    </row>
    <row r="159">
      <c r="A159" s="2"/>
      <c r="B159" s="3"/>
      <c r="C159" s="2"/>
      <c r="D159" s="11"/>
      <c r="E159" s="11"/>
      <c r="F159" s="11"/>
      <c r="G159" s="2"/>
    </row>
    <row r="160">
      <c r="A160" s="2"/>
      <c r="B160" s="3"/>
      <c r="C160" s="2"/>
      <c r="D160" s="11"/>
      <c r="E160" s="11"/>
      <c r="F160" s="11"/>
      <c r="G160" s="2"/>
    </row>
    <row r="161">
      <c r="A161" s="2"/>
      <c r="B161" s="3"/>
      <c r="C161" s="2"/>
      <c r="D161" s="11"/>
      <c r="E161" s="11"/>
      <c r="F161" s="11"/>
      <c r="G161" s="2"/>
    </row>
    <row r="162">
      <c r="A162" s="2"/>
      <c r="B162" s="3"/>
      <c r="C162" s="2"/>
      <c r="D162" s="11"/>
      <c r="E162" s="11"/>
      <c r="F162" s="11"/>
      <c r="G162" s="2"/>
    </row>
    <row r="163">
      <c r="A163" s="2"/>
      <c r="B163" s="3"/>
      <c r="C163" s="2"/>
      <c r="D163" s="11"/>
      <c r="E163" s="11"/>
      <c r="F163" s="11"/>
      <c r="G163" s="2"/>
    </row>
    <row r="164">
      <c r="A164" s="2"/>
      <c r="B164" s="3"/>
      <c r="C164" s="2"/>
      <c r="D164" s="11"/>
      <c r="E164" s="11"/>
      <c r="F164" s="11"/>
      <c r="G164" s="2"/>
    </row>
    <row r="165">
      <c r="A165" s="2"/>
      <c r="B165" s="3"/>
      <c r="C165" s="2"/>
      <c r="D165" s="11"/>
      <c r="E165" s="11"/>
      <c r="F165" s="11"/>
      <c r="G165" s="2"/>
    </row>
    <row r="166">
      <c r="A166" s="2"/>
      <c r="B166" s="3"/>
      <c r="C166" s="2"/>
      <c r="D166" s="11"/>
      <c r="E166" s="11"/>
      <c r="F166" s="11"/>
      <c r="G166" s="2"/>
    </row>
    <row r="167">
      <c r="A167" s="2"/>
      <c r="B167" s="3"/>
      <c r="C167" s="2"/>
      <c r="D167" s="11"/>
      <c r="E167" s="11"/>
      <c r="F167" s="11"/>
      <c r="G167" s="2"/>
    </row>
    <row r="168">
      <c r="A168" s="2"/>
      <c r="B168" s="3"/>
      <c r="C168" s="2"/>
      <c r="D168" s="11"/>
      <c r="E168" s="11"/>
      <c r="F168" s="11"/>
      <c r="G168" s="2"/>
    </row>
    <row r="169">
      <c r="A169" s="2"/>
      <c r="B169" s="3"/>
      <c r="C169" s="2"/>
      <c r="D169" s="11"/>
      <c r="E169" s="11"/>
      <c r="F169" s="11"/>
      <c r="G169" s="2"/>
    </row>
    <row r="170">
      <c r="A170" s="2"/>
      <c r="B170" s="3"/>
      <c r="C170" s="2"/>
      <c r="D170" s="11"/>
      <c r="E170" s="11"/>
      <c r="F170" s="11"/>
      <c r="G170" s="2"/>
    </row>
    <row r="171">
      <c r="A171" s="2"/>
      <c r="B171" s="3"/>
      <c r="C171" s="2"/>
      <c r="D171" s="11"/>
      <c r="E171" s="11"/>
      <c r="F171" s="11"/>
      <c r="G171" s="2"/>
    </row>
    <row r="172">
      <c r="A172" s="2"/>
      <c r="B172" s="3"/>
      <c r="C172" s="2"/>
      <c r="D172" s="11"/>
      <c r="E172" s="11"/>
      <c r="F172" s="11"/>
      <c r="G172" s="2"/>
    </row>
    <row r="173">
      <c r="A173" s="2"/>
      <c r="B173" s="3"/>
      <c r="C173" s="2"/>
      <c r="D173" s="11"/>
      <c r="E173" s="11"/>
      <c r="F173" s="11"/>
      <c r="G173" s="2"/>
    </row>
    <row r="174">
      <c r="A174" s="2"/>
      <c r="B174" s="3"/>
      <c r="C174" s="2"/>
      <c r="D174" s="11"/>
      <c r="E174" s="11"/>
      <c r="F174" s="11"/>
      <c r="G174" s="2"/>
    </row>
    <row r="175">
      <c r="A175" s="2"/>
      <c r="B175" s="3"/>
      <c r="C175" s="2"/>
      <c r="D175" s="11"/>
      <c r="E175" s="11"/>
      <c r="F175" s="11"/>
      <c r="G175" s="2"/>
    </row>
    <row r="176">
      <c r="A176" s="2"/>
      <c r="B176" s="3"/>
      <c r="C176" s="2"/>
      <c r="D176" s="11"/>
      <c r="E176" s="11"/>
      <c r="F176" s="11"/>
      <c r="G176" s="2"/>
    </row>
    <row r="177">
      <c r="A177" s="2"/>
      <c r="B177" s="3"/>
      <c r="C177" s="2"/>
      <c r="D177" s="11"/>
      <c r="E177" s="11"/>
      <c r="F177" s="11"/>
      <c r="G177" s="2"/>
    </row>
    <row r="178">
      <c r="A178" s="2"/>
      <c r="B178" s="3"/>
      <c r="C178" s="2"/>
      <c r="D178" s="11"/>
      <c r="E178" s="11"/>
      <c r="F178" s="11"/>
      <c r="G178" s="2"/>
    </row>
    <row r="179">
      <c r="A179" s="2"/>
      <c r="B179" s="3"/>
      <c r="C179" s="2"/>
      <c r="D179" s="11"/>
      <c r="E179" s="11"/>
      <c r="F179" s="11"/>
      <c r="G179" s="2"/>
    </row>
    <row r="180">
      <c r="A180" s="2"/>
      <c r="B180" s="3"/>
      <c r="C180" s="2"/>
      <c r="D180" s="11"/>
      <c r="E180" s="11"/>
      <c r="F180" s="11"/>
      <c r="G180" s="2"/>
    </row>
    <row r="181">
      <c r="A181" s="2"/>
      <c r="B181" s="3"/>
      <c r="C181" s="2"/>
      <c r="D181" s="11"/>
      <c r="E181" s="11"/>
      <c r="F181" s="11"/>
      <c r="G181" s="2"/>
    </row>
    <row r="182">
      <c r="A182" s="2"/>
      <c r="B182" s="3"/>
      <c r="C182" s="2"/>
      <c r="D182" s="11"/>
      <c r="E182" s="11"/>
      <c r="F182" s="11"/>
      <c r="G182" s="2"/>
    </row>
    <row r="183">
      <c r="A183" s="2"/>
      <c r="B183" s="3"/>
      <c r="C183" s="2"/>
      <c r="D183" s="11"/>
      <c r="E183" s="11"/>
      <c r="F183" s="11"/>
      <c r="G183" s="2"/>
    </row>
    <row r="184">
      <c r="A184" s="2"/>
      <c r="B184" s="3"/>
      <c r="C184" s="2"/>
      <c r="D184" s="11"/>
      <c r="E184" s="11"/>
      <c r="F184" s="11"/>
      <c r="G184" s="2"/>
    </row>
    <row r="185">
      <c r="A185" s="2"/>
      <c r="B185" s="3"/>
      <c r="C185" s="2"/>
      <c r="D185" s="11"/>
      <c r="E185" s="11"/>
      <c r="F185" s="11"/>
      <c r="G185" s="2"/>
    </row>
    <row r="186">
      <c r="A186" s="2"/>
      <c r="B186" s="3"/>
      <c r="C186" s="2"/>
      <c r="D186" s="11"/>
      <c r="E186" s="11"/>
      <c r="F186" s="11"/>
      <c r="G186" s="2"/>
    </row>
    <row r="187">
      <c r="A187" s="2"/>
      <c r="B187" s="3"/>
      <c r="C187" s="2"/>
      <c r="D187" s="11"/>
      <c r="E187" s="11"/>
      <c r="F187" s="11"/>
      <c r="G187" s="2"/>
    </row>
    <row r="188">
      <c r="A188" s="2"/>
      <c r="B188" s="3"/>
      <c r="C188" s="2"/>
      <c r="D188" s="11"/>
      <c r="E188" s="11"/>
      <c r="F188" s="11"/>
      <c r="G188" s="2"/>
    </row>
    <row r="189">
      <c r="A189" s="2"/>
      <c r="B189" s="3"/>
      <c r="C189" s="2"/>
      <c r="D189" s="11"/>
      <c r="E189" s="11"/>
      <c r="F189" s="11"/>
      <c r="G189" s="2"/>
    </row>
    <row r="190">
      <c r="A190" s="2"/>
      <c r="B190" s="3"/>
      <c r="C190" s="2"/>
      <c r="D190" s="11"/>
      <c r="E190" s="11"/>
      <c r="F190" s="11"/>
      <c r="G190" s="2"/>
    </row>
    <row r="191">
      <c r="A191" s="2"/>
      <c r="B191" s="3"/>
      <c r="C191" s="2"/>
      <c r="D191" s="11"/>
      <c r="E191" s="11"/>
      <c r="F191" s="11"/>
      <c r="G191" s="2"/>
    </row>
    <row r="192">
      <c r="A192" s="2"/>
      <c r="B192" s="3"/>
      <c r="C192" s="2"/>
      <c r="D192" s="11"/>
      <c r="E192" s="11"/>
      <c r="F192" s="11"/>
      <c r="G192" s="2"/>
    </row>
    <row r="193">
      <c r="A193" s="2"/>
      <c r="B193" s="3"/>
      <c r="C193" s="2"/>
      <c r="D193" s="11"/>
      <c r="E193" s="11"/>
      <c r="F193" s="11"/>
      <c r="G193" s="2"/>
    </row>
    <row r="194">
      <c r="A194" s="2"/>
      <c r="B194" s="3"/>
      <c r="C194" s="2"/>
      <c r="D194" s="11"/>
      <c r="E194" s="11"/>
      <c r="F194" s="11"/>
      <c r="G194" s="2"/>
    </row>
    <row r="195">
      <c r="A195" s="2"/>
      <c r="B195" s="3"/>
      <c r="C195" s="2"/>
      <c r="D195" s="11"/>
      <c r="E195" s="11"/>
      <c r="F195" s="11"/>
      <c r="G195" s="2"/>
    </row>
    <row r="196">
      <c r="A196" s="2"/>
      <c r="B196" s="3"/>
      <c r="C196" s="2"/>
      <c r="D196" s="11"/>
      <c r="E196" s="11"/>
      <c r="F196" s="11"/>
      <c r="G196" s="2"/>
    </row>
    <row r="197">
      <c r="A197" s="2"/>
      <c r="B197" s="3"/>
      <c r="C197" s="2"/>
      <c r="D197" s="11"/>
      <c r="E197" s="11"/>
      <c r="F197" s="11"/>
      <c r="G197" s="2"/>
    </row>
    <row r="198">
      <c r="A198" s="2"/>
      <c r="B198" s="3"/>
      <c r="C198" s="2"/>
      <c r="D198" s="11"/>
      <c r="E198" s="11"/>
      <c r="F198" s="11"/>
      <c r="G198" s="2"/>
    </row>
    <row r="199">
      <c r="A199" s="2"/>
      <c r="B199" s="3"/>
      <c r="C199" s="2"/>
      <c r="D199" s="11"/>
      <c r="E199" s="11"/>
      <c r="F199" s="11"/>
      <c r="G199" s="2"/>
    </row>
    <row r="200">
      <c r="A200" s="2"/>
      <c r="B200" s="3"/>
      <c r="C200" s="2"/>
      <c r="D200" s="11"/>
      <c r="E200" s="11"/>
      <c r="F200" s="11"/>
      <c r="G200" s="2"/>
    </row>
    <row r="201">
      <c r="A201" s="2"/>
      <c r="B201" s="3"/>
      <c r="C201" s="2"/>
      <c r="D201" s="11"/>
      <c r="E201" s="11"/>
      <c r="F201" s="11"/>
      <c r="G201" s="2"/>
    </row>
    <row r="202">
      <c r="A202" s="2"/>
      <c r="B202" s="3"/>
      <c r="C202" s="2"/>
      <c r="D202" s="11"/>
      <c r="E202" s="11"/>
      <c r="F202" s="11"/>
      <c r="G202" s="2"/>
    </row>
    <row r="203">
      <c r="A203" s="2"/>
      <c r="B203" s="3"/>
      <c r="C203" s="2"/>
      <c r="D203" s="11"/>
      <c r="E203" s="11"/>
      <c r="F203" s="11"/>
      <c r="G203" s="2"/>
    </row>
    <row r="204">
      <c r="A204" s="2"/>
      <c r="B204" s="3"/>
      <c r="C204" s="2"/>
      <c r="D204" s="11"/>
      <c r="E204" s="11"/>
      <c r="F204" s="11"/>
      <c r="G204" s="2"/>
    </row>
    <row r="205">
      <c r="A205" s="2"/>
      <c r="B205" s="3"/>
      <c r="C205" s="2"/>
      <c r="D205" s="11"/>
      <c r="E205" s="11"/>
      <c r="F205" s="11"/>
      <c r="G205" s="2"/>
    </row>
    <row r="206">
      <c r="A206" s="2"/>
      <c r="B206" s="3"/>
      <c r="C206" s="2"/>
      <c r="D206" s="11"/>
      <c r="E206" s="11"/>
      <c r="F206" s="11"/>
      <c r="G206" s="2"/>
    </row>
    <row r="207">
      <c r="A207" s="2"/>
      <c r="B207" s="3"/>
      <c r="C207" s="2"/>
      <c r="D207" s="11"/>
      <c r="E207" s="11"/>
      <c r="F207" s="11"/>
      <c r="G207" s="2"/>
    </row>
    <row r="208">
      <c r="A208" s="2"/>
      <c r="B208" s="3"/>
      <c r="C208" s="2"/>
      <c r="D208" s="11"/>
      <c r="E208" s="11"/>
      <c r="F208" s="11"/>
      <c r="G208" s="2"/>
    </row>
    <row r="209">
      <c r="A209" s="2"/>
      <c r="B209" s="3"/>
      <c r="C209" s="2"/>
      <c r="D209" s="11"/>
      <c r="E209" s="11"/>
      <c r="F209" s="11"/>
      <c r="G209" s="2"/>
    </row>
    <row r="210">
      <c r="A210" s="2"/>
      <c r="B210" s="3"/>
      <c r="C210" s="2"/>
      <c r="D210" s="11"/>
      <c r="E210" s="11"/>
      <c r="F210" s="11"/>
      <c r="G210" s="2"/>
    </row>
    <row r="211">
      <c r="A211" s="2"/>
      <c r="B211" s="3"/>
      <c r="C211" s="2"/>
      <c r="D211" s="11"/>
      <c r="E211" s="11"/>
      <c r="F211" s="11"/>
      <c r="G211" s="2"/>
    </row>
    <row r="212">
      <c r="A212" s="2"/>
      <c r="B212" s="3"/>
      <c r="C212" s="2"/>
      <c r="D212" s="11"/>
      <c r="E212" s="11"/>
      <c r="F212" s="11"/>
      <c r="G212" s="2"/>
    </row>
    <row r="213">
      <c r="A213" s="2"/>
      <c r="B213" s="3"/>
      <c r="C213" s="2"/>
      <c r="D213" s="11"/>
      <c r="E213" s="11"/>
      <c r="F213" s="11"/>
      <c r="G213" s="2"/>
    </row>
    <row r="214">
      <c r="A214" s="2"/>
      <c r="B214" s="3"/>
      <c r="C214" s="2"/>
      <c r="D214" s="11"/>
      <c r="E214" s="11"/>
      <c r="F214" s="11"/>
      <c r="G214" s="2"/>
    </row>
    <row r="215">
      <c r="A215" s="2"/>
      <c r="B215" s="3"/>
      <c r="C215" s="2"/>
      <c r="D215" s="11"/>
      <c r="E215" s="11"/>
      <c r="F215" s="11"/>
      <c r="G215" s="2"/>
    </row>
    <row r="216">
      <c r="A216" s="2"/>
      <c r="B216" s="3"/>
      <c r="C216" s="2"/>
      <c r="D216" s="11"/>
      <c r="E216" s="11"/>
      <c r="F216" s="11"/>
      <c r="G216" s="2"/>
    </row>
    <row r="217">
      <c r="A217" s="2"/>
      <c r="B217" s="3"/>
      <c r="C217" s="2"/>
      <c r="D217" s="11"/>
      <c r="E217" s="11"/>
      <c r="F217" s="11"/>
      <c r="G217" s="2"/>
    </row>
    <row r="218">
      <c r="A218" s="2"/>
      <c r="B218" s="3"/>
      <c r="C218" s="2"/>
      <c r="D218" s="11"/>
      <c r="E218" s="11"/>
      <c r="F218" s="11"/>
      <c r="G218" s="2"/>
    </row>
    <row r="219">
      <c r="A219" s="2"/>
      <c r="B219" s="3"/>
      <c r="C219" s="2"/>
      <c r="D219" s="11"/>
      <c r="E219" s="11"/>
      <c r="F219" s="11"/>
      <c r="G219" s="2"/>
    </row>
    <row r="220">
      <c r="A220" s="2"/>
      <c r="B220" s="3"/>
      <c r="C220" s="2"/>
      <c r="D220" s="11"/>
      <c r="E220" s="11"/>
      <c r="F220" s="11"/>
      <c r="G220" s="2"/>
    </row>
    <row r="221">
      <c r="A221" s="2"/>
      <c r="B221" s="3"/>
      <c r="C221" s="2"/>
      <c r="D221" s="11"/>
      <c r="E221" s="11"/>
      <c r="F221" s="11"/>
      <c r="G221" s="2"/>
    </row>
    <row r="222">
      <c r="A222" s="2"/>
      <c r="B222" s="3"/>
      <c r="C222" s="2"/>
      <c r="D222" s="11"/>
      <c r="E222" s="11"/>
      <c r="F222" s="11"/>
      <c r="G222" s="2"/>
    </row>
    <row r="223">
      <c r="A223" s="2"/>
      <c r="B223" s="3"/>
      <c r="C223" s="2"/>
      <c r="D223" s="11"/>
      <c r="E223" s="11"/>
      <c r="F223" s="11"/>
      <c r="G223" s="2"/>
    </row>
    <row r="224">
      <c r="A224" s="2"/>
      <c r="B224" s="3"/>
      <c r="C224" s="2"/>
      <c r="D224" s="11"/>
      <c r="E224" s="11"/>
      <c r="F224" s="11"/>
      <c r="G224" s="2"/>
    </row>
    <row r="225">
      <c r="A225" s="2"/>
      <c r="B225" s="3"/>
      <c r="C225" s="2"/>
      <c r="D225" s="11"/>
      <c r="E225" s="11"/>
      <c r="F225" s="11"/>
      <c r="G225" s="2"/>
    </row>
    <row r="226">
      <c r="A226" s="2"/>
      <c r="B226" s="3"/>
      <c r="C226" s="2"/>
      <c r="D226" s="11"/>
      <c r="E226" s="11"/>
      <c r="F226" s="11"/>
      <c r="G226" s="2"/>
    </row>
    <row r="227">
      <c r="A227" s="2"/>
      <c r="B227" s="3"/>
      <c r="C227" s="2"/>
      <c r="D227" s="11"/>
      <c r="E227" s="11"/>
      <c r="F227" s="11"/>
      <c r="G227" s="2"/>
    </row>
    <row r="228">
      <c r="A228" s="2"/>
      <c r="B228" s="3"/>
      <c r="C228" s="2"/>
      <c r="D228" s="11"/>
      <c r="E228" s="11"/>
      <c r="F228" s="11"/>
      <c r="G228" s="2"/>
    </row>
    <row r="229">
      <c r="A229" s="2"/>
      <c r="B229" s="3"/>
      <c r="C229" s="2"/>
      <c r="D229" s="11"/>
      <c r="E229" s="11"/>
      <c r="F229" s="11"/>
      <c r="G229" s="2"/>
    </row>
    <row r="230">
      <c r="A230" s="2"/>
      <c r="B230" s="3"/>
      <c r="C230" s="2"/>
      <c r="D230" s="11"/>
      <c r="E230" s="11"/>
      <c r="F230" s="11"/>
      <c r="G230" s="2"/>
    </row>
    <row r="231">
      <c r="A231" s="2"/>
      <c r="B231" s="3"/>
      <c r="C231" s="2"/>
      <c r="D231" s="11"/>
      <c r="E231" s="11"/>
      <c r="F231" s="11"/>
      <c r="G231" s="2"/>
    </row>
    <row r="232">
      <c r="A232" s="2"/>
      <c r="B232" s="3"/>
      <c r="C232" s="2"/>
      <c r="D232" s="11"/>
      <c r="E232" s="11"/>
      <c r="F232" s="11"/>
      <c r="G232" s="2"/>
    </row>
    <row r="233">
      <c r="A233" s="2"/>
      <c r="B233" s="3"/>
      <c r="C233" s="2"/>
      <c r="D233" s="11"/>
      <c r="E233" s="11"/>
      <c r="F233" s="11"/>
      <c r="G233" s="2"/>
    </row>
    <row r="234">
      <c r="A234" s="2"/>
      <c r="B234" s="3"/>
      <c r="C234" s="2"/>
      <c r="D234" s="11"/>
      <c r="E234" s="11"/>
      <c r="F234" s="11"/>
      <c r="G234" s="2"/>
    </row>
    <row r="235">
      <c r="A235" s="2"/>
      <c r="B235" s="3"/>
      <c r="C235" s="2"/>
      <c r="D235" s="11"/>
      <c r="E235" s="11"/>
      <c r="F235" s="11"/>
      <c r="G235" s="2"/>
    </row>
    <row r="236">
      <c r="A236" s="2"/>
      <c r="B236" s="3"/>
      <c r="C236" s="2"/>
      <c r="D236" s="11"/>
      <c r="E236" s="11"/>
      <c r="F236" s="11"/>
      <c r="G236" s="2"/>
    </row>
    <row r="237">
      <c r="A237" s="2"/>
      <c r="B237" s="3"/>
      <c r="C237" s="2"/>
      <c r="D237" s="11"/>
      <c r="E237" s="11"/>
      <c r="F237" s="11"/>
      <c r="G237" s="2"/>
    </row>
    <row r="238">
      <c r="A238" s="2"/>
      <c r="B238" s="3"/>
      <c r="C238" s="2"/>
      <c r="D238" s="11"/>
      <c r="E238" s="11"/>
      <c r="F238" s="11"/>
      <c r="G238" s="2"/>
    </row>
    <row r="239">
      <c r="A239" s="2"/>
      <c r="B239" s="3"/>
      <c r="C239" s="2"/>
      <c r="D239" s="11"/>
      <c r="E239" s="11"/>
      <c r="F239" s="11"/>
      <c r="G239" s="2"/>
    </row>
    <row r="240">
      <c r="A240" s="2"/>
      <c r="B240" s="3"/>
      <c r="C240" s="2"/>
      <c r="D240" s="11"/>
      <c r="E240" s="11"/>
      <c r="F240" s="11"/>
      <c r="G240" s="2"/>
    </row>
    <row r="241">
      <c r="A241" s="2"/>
      <c r="B241" s="3"/>
      <c r="C241" s="2"/>
      <c r="D241" s="11"/>
      <c r="E241" s="11"/>
      <c r="F241" s="11"/>
      <c r="G241" s="2"/>
    </row>
    <row r="242">
      <c r="A242" s="2"/>
      <c r="B242" s="3"/>
      <c r="C242" s="2"/>
      <c r="D242" s="11"/>
      <c r="E242" s="11"/>
      <c r="F242" s="11"/>
      <c r="G242" s="2"/>
    </row>
    <row r="243">
      <c r="A243" s="2"/>
      <c r="B243" s="3"/>
      <c r="C243" s="2"/>
      <c r="D243" s="11"/>
      <c r="E243" s="11"/>
      <c r="F243" s="11"/>
      <c r="G243" s="2"/>
    </row>
    <row r="244">
      <c r="A244" s="2"/>
      <c r="B244" s="3"/>
      <c r="C244" s="2"/>
      <c r="D244" s="11"/>
      <c r="E244" s="11"/>
      <c r="F244" s="11"/>
      <c r="G244" s="2"/>
    </row>
    <row r="245">
      <c r="A245" s="2"/>
      <c r="B245" s="3"/>
      <c r="C245" s="2"/>
      <c r="D245" s="11"/>
      <c r="E245" s="11"/>
      <c r="F245" s="11"/>
      <c r="G245" s="2"/>
    </row>
    <row r="246">
      <c r="A246" s="2"/>
      <c r="B246" s="3"/>
      <c r="C246" s="2"/>
      <c r="D246" s="11"/>
      <c r="E246" s="11"/>
      <c r="F246" s="11"/>
      <c r="G246" s="2"/>
    </row>
    <row r="247">
      <c r="A247" s="2"/>
      <c r="B247" s="3"/>
      <c r="C247" s="2"/>
      <c r="D247" s="11"/>
      <c r="E247" s="11"/>
      <c r="F247" s="11"/>
      <c r="G247" s="2"/>
    </row>
    <row r="248">
      <c r="A248" s="2"/>
      <c r="B248" s="3"/>
      <c r="C248" s="2"/>
      <c r="D248" s="11"/>
      <c r="E248" s="11"/>
      <c r="F248" s="11"/>
      <c r="G248" s="2"/>
    </row>
    <row r="249">
      <c r="A249" s="2"/>
      <c r="B249" s="3"/>
      <c r="C249" s="2"/>
      <c r="D249" s="11"/>
      <c r="E249" s="11"/>
      <c r="F249" s="11"/>
      <c r="G249" s="2"/>
    </row>
    <row r="250">
      <c r="A250" s="2"/>
      <c r="B250" s="3"/>
      <c r="C250" s="2"/>
      <c r="D250" s="11"/>
      <c r="E250" s="11"/>
      <c r="F250" s="11"/>
      <c r="G250" s="2"/>
    </row>
    <row r="251">
      <c r="A251" s="2"/>
      <c r="B251" s="3"/>
      <c r="C251" s="2"/>
      <c r="D251" s="11"/>
      <c r="E251" s="11"/>
      <c r="F251" s="11"/>
      <c r="G251" s="2"/>
    </row>
    <row r="252">
      <c r="A252" s="2"/>
      <c r="B252" s="3"/>
      <c r="C252" s="2"/>
      <c r="D252" s="11"/>
      <c r="E252" s="11"/>
      <c r="F252" s="11"/>
      <c r="G252" s="2"/>
    </row>
    <row r="253">
      <c r="A253" s="2"/>
      <c r="B253" s="3"/>
      <c r="C253" s="2"/>
      <c r="D253" s="11"/>
      <c r="E253" s="11"/>
      <c r="F253" s="11"/>
      <c r="G253" s="2"/>
    </row>
    <row r="254">
      <c r="A254" s="2"/>
      <c r="B254" s="3"/>
      <c r="C254" s="2"/>
      <c r="D254" s="11"/>
      <c r="E254" s="11"/>
      <c r="F254" s="11"/>
      <c r="G254" s="2"/>
    </row>
    <row r="255">
      <c r="A255" s="2"/>
      <c r="B255" s="3"/>
      <c r="C255" s="2"/>
      <c r="D255" s="11"/>
      <c r="E255" s="11"/>
      <c r="F255" s="11"/>
      <c r="G255" s="2"/>
    </row>
    <row r="256">
      <c r="A256" s="2"/>
      <c r="B256" s="3"/>
      <c r="C256" s="2"/>
      <c r="D256" s="11"/>
      <c r="E256" s="11"/>
      <c r="F256" s="11"/>
      <c r="G256" s="2"/>
    </row>
    <row r="257">
      <c r="A257" s="2"/>
      <c r="B257" s="3"/>
      <c r="C257" s="2"/>
      <c r="D257" s="11"/>
      <c r="E257" s="11"/>
      <c r="F257" s="11"/>
      <c r="G257" s="2"/>
    </row>
    <row r="258">
      <c r="A258" s="2"/>
      <c r="B258" s="3"/>
      <c r="C258" s="2"/>
      <c r="D258" s="11"/>
      <c r="E258" s="11"/>
      <c r="F258" s="11"/>
      <c r="G258" s="2"/>
    </row>
    <row r="259">
      <c r="A259" s="2"/>
      <c r="B259" s="3"/>
      <c r="C259" s="2"/>
      <c r="D259" s="11"/>
      <c r="E259" s="11"/>
      <c r="F259" s="11"/>
      <c r="G259" s="2"/>
    </row>
    <row r="260">
      <c r="A260" s="2"/>
      <c r="B260" s="3"/>
      <c r="C260" s="2"/>
      <c r="D260" s="11"/>
      <c r="E260" s="11"/>
      <c r="F260" s="11"/>
      <c r="G260" s="2"/>
    </row>
    <row r="261">
      <c r="A261" s="2"/>
      <c r="B261" s="3"/>
      <c r="C261" s="2"/>
      <c r="D261" s="11"/>
      <c r="E261" s="11"/>
      <c r="F261" s="11"/>
      <c r="G261" s="2"/>
    </row>
    <row r="262">
      <c r="A262" s="2"/>
      <c r="B262" s="3"/>
      <c r="C262" s="2"/>
      <c r="D262" s="11"/>
      <c r="E262" s="11"/>
      <c r="F262" s="11"/>
      <c r="G262" s="2"/>
    </row>
    <row r="263">
      <c r="A263" s="2"/>
      <c r="B263" s="3"/>
      <c r="C263" s="2"/>
      <c r="D263" s="11"/>
      <c r="E263" s="11"/>
      <c r="F263" s="11"/>
      <c r="G263" s="2"/>
    </row>
    <row r="264">
      <c r="A264" s="2"/>
      <c r="B264" s="3"/>
      <c r="C264" s="2"/>
      <c r="D264" s="11"/>
      <c r="E264" s="11"/>
      <c r="F264" s="11"/>
      <c r="G264" s="2"/>
    </row>
    <row r="265">
      <c r="A265" s="2"/>
      <c r="B265" s="3"/>
      <c r="C265" s="2"/>
      <c r="D265" s="11"/>
      <c r="E265" s="11"/>
      <c r="F265" s="11"/>
      <c r="G265" s="2"/>
    </row>
    <row r="266">
      <c r="A266" s="2"/>
      <c r="B266" s="3"/>
      <c r="C266" s="2"/>
      <c r="D266" s="11"/>
      <c r="E266" s="11"/>
      <c r="F266" s="11"/>
      <c r="G266" s="2"/>
    </row>
    <row r="267">
      <c r="A267" s="2"/>
      <c r="B267" s="3"/>
      <c r="C267" s="2"/>
      <c r="D267" s="11"/>
      <c r="E267" s="11"/>
      <c r="F267" s="11"/>
      <c r="G267" s="2"/>
    </row>
    <row r="268">
      <c r="A268" s="2"/>
      <c r="B268" s="3"/>
      <c r="C268" s="2"/>
      <c r="D268" s="11"/>
      <c r="E268" s="11"/>
      <c r="F268" s="11"/>
      <c r="G268" s="2"/>
    </row>
    <row r="269">
      <c r="A269" s="2"/>
      <c r="B269" s="3"/>
      <c r="C269" s="2"/>
      <c r="D269" s="11"/>
      <c r="E269" s="11"/>
      <c r="F269" s="11"/>
      <c r="G269" s="2"/>
    </row>
    <row r="270">
      <c r="A270" s="2"/>
      <c r="B270" s="3"/>
      <c r="C270" s="2"/>
      <c r="D270" s="11"/>
      <c r="E270" s="11"/>
      <c r="F270" s="11"/>
      <c r="G270" s="2"/>
    </row>
    <row r="271">
      <c r="A271" s="2"/>
      <c r="B271" s="3"/>
      <c r="C271" s="2"/>
      <c r="D271" s="11"/>
      <c r="E271" s="11"/>
      <c r="F271" s="11"/>
      <c r="G271" s="2"/>
    </row>
    <row r="272">
      <c r="A272" s="2"/>
      <c r="B272" s="3"/>
      <c r="C272" s="2"/>
      <c r="D272" s="11"/>
      <c r="E272" s="11"/>
      <c r="F272" s="11"/>
      <c r="G272" s="2"/>
    </row>
    <row r="273">
      <c r="A273" s="2"/>
      <c r="B273" s="3"/>
      <c r="C273" s="2"/>
      <c r="D273" s="11"/>
      <c r="E273" s="11"/>
      <c r="F273" s="11"/>
      <c r="G273" s="2"/>
    </row>
    <row r="274">
      <c r="A274" s="2"/>
      <c r="B274" s="3"/>
      <c r="C274" s="2"/>
      <c r="D274" s="11"/>
      <c r="E274" s="11"/>
      <c r="F274" s="11"/>
      <c r="G274" s="2"/>
    </row>
    <row r="275">
      <c r="A275" s="2"/>
      <c r="B275" s="3"/>
      <c r="C275" s="2"/>
      <c r="D275" s="11"/>
      <c r="E275" s="11"/>
      <c r="F275" s="11"/>
      <c r="G275" s="2"/>
    </row>
    <row r="276">
      <c r="A276" s="2"/>
      <c r="B276" s="3"/>
      <c r="C276" s="2"/>
      <c r="D276" s="11"/>
      <c r="E276" s="11"/>
      <c r="F276" s="11"/>
      <c r="G276" s="2"/>
    </row>
    <row r="277">
      <c r="A277" s="2"/>
      <c r="B277" s="3"/>
      <c r="C277" s="2"/>
      <c r="D277" s="11"/>
      <c r="E277" s="11"/>
      <c r="F277" s="11"/>
      <c r="G277" s="2"/>
    </row>
    <row r="278">
      <c r="A278" s="2"/>
      <c r="B278" s="3"/>
      <c r="C278" s="2"/>
      <c r="D278" s="11"/>
      <c r="E278" s="11"/>
      <c r="F278" s="11"/>
      <c r="G278" s="2"/>
    </row>
    <row r="279">
      <c r="A279" s="2"/>
      <c r="B279" s="3"/>
      <c r="C279" s="2"/>
      <c r="D279" s="11"/>
      <c r="E279" s="11"/>
      <c r="F279" s="11"/>
      <c r="G279" s="2"/>
    </row>
    <row r="280">
      <c r="A280" s="2"/>
      <c r="B280" s="3"/>
      <c r="C280" s="2"/>
      <c r="D280" s="11"/>
      <c r="E280" s="11"/>
      <c r="F280" s="11"/>
      <c r="G280" s="2"/>
    </row>
    <row r="281">
      <c r="A281" s="2"/>
      <c r="B281" s="3"/>
      <c r="C281" s="2"/>
      <c r="D281" s="11"/>
      <c r="E281" s="11"/>
      <c r="F281" s="11"/>
      <c r="G281" s="2"/>
    </row>
    <row r="282">
      <c r="A282" s="2"/>
      <c r="B282" s="3"/>
      <c r="C282" s="2"/>
      <c r="D282" s="11"/>
      <c r="E282" s="11"/>
      <c r="F282" s="11"/>
      <c r="G282" s="2"/>
    </row>
    <row r="283">
      <c r="A283" s="2"/>
      <c r="B283" s="3"/>
      <c r="C283" s="2"/>
      <c r="D283" s="11"/>
      <c r="E283" s="11"/>
      <c r="F283" s="11"/>
      <c r="G283" s="2"/>
    </row>
    <row r="284">
      <c r="A284" s="2"/>
      <c r="B284" s="3"/>
      <c r="C284" s="2"/>
      <c r="D284" s="11"/>
      <c r="E284" s="11"/>
      <c r="F284" s="11"/>
      <c r="G284" s="2"/>
    </row>
    <row r="285">
      <c r="A285" s="2"/>
      <c r="B285" s="3"/>
      <c r="C285" s="2"/>
      <c r="D285" s="11"/>
      <c r="E285" s="11"/>
      <c r="F285" s="11"/>
      <c r="G285" s="2"/>
    </row>
    <row r="286">
      <c r="A286" s="2"/>
      <c r="B286" s="3"/>
      <c r="C286" s="2"/>
      <c r="D286" s="11"/>
      <c r="E286" s="11"/>
      <c r="F286" s="11"/>
      <c r="G286" s="2"/>
    </row>
    <row r="287">
      <c r="A287" s="2"/>
      <c r="B287" s="3"/>
      <c r="C287" s="2"/>
      <c r="D287" s="11"/>
      <c r="E287" s="11"/>
      <c r="F287" s="11"/>
      <c r="G287" s="2"/>
    </row>
    <row r="288">
      <c r="A288" s="2"/>
      <c r="B288" s="3"/>
      <c r="C288" s="2"/>
      <c r="D288" s="11"/>
      <c r="E288" s="11"/>
      <c r="F288" s="11"/>
      <c r="G288" s="2"/>
    </row>
    <row r="289">
      <c r="A289" s="2"/>
      <c r="B289" s="3"/>
      <c r="C289" s="2"/>
      <c r="D289" s="11"/>
      <c r="E289" s="11"/>
      <c r="F289" s="11"/>
      <c r="G289" s="2"/>
    </row>
    <row r="290">
      <c r="A290" s="2"/>
      <c r="B290" s="3"/>
      <c r="C290" s="2"/>
      <c r="D290" s="11"/>
      <c r="E290" s="11"/>
      <c r="F290" s="11"/>
      <c r="G290" s="2"/>
    </row>
    <row r="291">
      <c r="A291" s="2"/>
      <c r="B291" s="3"/>
      <c r="C291" s="2"/>
      <c r="D291" s="11"/>
      <c r="E291" s="11"/>
      <c r="F291" s="11"/>
      <c r="G291" s="2"/>
    </row>
    <row r="292">
      <c r="A292" s="2"/>
      <c r="B292" s="3"/>
      <c r="C292" s="2"/>
      <c r="D292" s="11"/>
      <c r="E292" s="11"/>
      <c r="F292" s="11"/>
      <c r="G292" s="2"/>
    </row>
    <row r="293">
      <c r="A293" s="2"/>
      <c r="B293" s="3"/>
      <c r="C293" s="2"/>
      <c r="D293" s="11"/>
      <c r="E293" s="11"/>
      <c r="F293" s="11"/>
      <c r="G293" s="2"/>
    </row>
    <row r="294">
      <c r="A294" s="2"/>
      <c r="B294" s="3"/>
      <c r="C294" s="2"/>
      <c r="D294" s="11"/>
      <c r="E294" s="11"/>
      <c r="F294" s="11"/>
      <c r="G294" s="2"/>
    </row>
    <row r="295">
      <c r="A295" s="2"/>
      <c r="B295" s="3"/>
      <c r="C295" s="2"/>
      <c r="D295" s="11"/>
      <c r="E295" s="11"/>
      <c r="F295" s="11"/>
      <c r="G295" s="2"/>
    </row>
    <row r="296">
      <c r="A296" s="2"/>
      <c r="B296" s="3"/>
      <c r="C296" s="2"/>
      <c r="D296" s="11"/>
      <c r="E296" s="11"/>
      <c r="F296" s="11"/>
      <c r="G296" s="2"/>
    </row>
    <row r="297">
      <c r="A297" s="2"/>
      <c r="B297" s="3"/>
      <c r="C297" s="2"/>
      <c r="D297" s="11"/>
      <c r="E297" s="11"/>
      <c r="F297" s="11"/>
      <c r="G297" s="2"/>
    </row>
    <row r="298">
      <c r="A298" s="2"/>
      <c r="B298" s="3"/>
      <c r="C298" s="2"/>
      <c r="D298" s="11"/>
      <c r="E298" s="11"/>
      <c r="F298" s="11"/>
      <c r="G298" s="2"/>
    </row>
    <row r="299">
      <c r="A299" s="2"/>
      <c r="B299" s="3"/>
      <c r="C299" s="2"/>
      <c r="D299" s="11"/>
      <c r="E299" s="11"/>
      <c r="F299" s="11"/>
      <c r="G299" s="2"/>
    </row>
    <row r="300">
      <c r="A300" s="2"/>
      <c r="B300" s="3"/>
      <c r="C300" s="2"/>
      <c r="D300" s="11"/>
      <c r="E300" s="11"/>
      <c r="F300" s="11"/>
      <c r="G300" s="2"/>
    </row>
    <row r="301">
      <c r="A301" s="2"/>
      <c r="B301" s="3"/>
      <c r="C301" s="2"/>
      <c r="D301" s="11"/>
      <c r="E301" s="11"/>
      <c r="F301" s="11"/>
      <c r="G301" s="2"/>
    </row>
    <row r="302">
      <c r="A302" s="2"/>
      <c r="B302" s="3"/>
      <c r="C302" s="2"/>
      <c r="D302" s="11"/>
      <c r="E302" s="11"/>
      <c r="F302" s="11"/>
      <c r="G302" s="2"/>
    </row>
  </sheetData>
  <autoFilter ref="A1:G302"/>
  <pageMargins left="0.5" right="0.5" top="0.5" bottom="0.5" header="0.3" footer="0.3"/>
</worksheet>
</file>

<file path=xl/worksheets/sheet5.xml><?xml version="1.0" encoding="utf-8"?>
<worksheet xmlns="http://schemas.openxmlformats.org/spreadsheetml/2006/main">
  <dimension ref="A1:H362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6" customWidth="1"/>
    <col min="3" max="3" width="20" customWidth="1"/>
    <col min="4" max="4" width="11" customWidth="1"/>
    <col min="5" max="5" width="11" customWidth="1"/>
    <col min="6" max="6" width="46" customWidth="1"/>
    <col min="7" max="7" width="34" customWidth="1"/>
    <col min="8" max="8" width="16" customWidth="1"/>
  </cols>
  <sheetData>
    <row r="1" ht="30" customHeight="1">
      <c r="A1" s="1" t="inlineStr">
        <is>
          <t xml:space="preserve">Problem</t>
        </is>
      </c>
      <c r="B1" s="1" t="inlineStr">
        <is>
          <t xml:space="preserve">E/M/H</t>
        </is>
      </c>
      <c r="C1" s="1" t="inlineStr">
        <is>
          <t xml:space="preserve">Pattern</t>
        </is>
      </c>
      <c r="D1" s="1" t="inlineStr">
        <is>
          <t xml:space="preserve">Brute O</t>
        </is>
      </c>
      <c r="E1" s="1" t="inlineStr">
        <is>
          <t xml:space="preserve">Opt O</t>
        </is>
      </c>
      <c r="F1" s="1" t="inlineStr">
        <is>
          <t xml:space="preserve">Key insight (ONE sentence)</t>
        </is>
      </c>
      <c r="G1" s="1" t="inlineStr">
        <is>
          <t xml:space="preserve">One variation</t>
        </is>
      </c>
      <c r="H1" s="1" t="inlineStr">
        <is>
          <t xml:space="preserve">Re-solve 1/3/7/14</t>
        </is>
      </c>
    </row>
    <row r="2">
      <c r="A2" s="5" t="inlineStr">
        <is>
          <t xml:space="preserve">Two Sum</t>
        </is>
      </c>
      <c r="B2" s="13" t="inlineStr">
        <is>
          <t xml:space="preserve">E</t>
        </is>
      </c>
      <c r="C2" s="5" t="inlineStr">
        <is>
          <t xml:space="preserve">Hashing</t>
        </is>
      </c>
      <c r="D2" s="13" t="inlineStr">
        <is>
          <t xml:space="preserve">O(n^2)</t>
        </is>
      </c>
      <c r="E2" s="13" t="inlineStr">
        <is>
          <t xml:space="preserve">O(n)</t>
        </is>
      </c>
      <c r="F2" s="5" t="inlineStr">
        <is>
          <t xml:space="preserve">Complement lookup in a map</t>
        </is>
      </c>
      <c r="G2" s="5" t="inlineStr">
        <is>
          <t xml:space="preserve">If sorted, two pointers</t>
        </is>
      </c>
      <c r="H2" s="5" t="inlineStr">
        <is>
          <t xml:space="preserve">EXAMPLE - delete</t>
        </is>
      </c>
    </row>
    <row r="3">
      <c r="A3" s="2"/>
      <c r="B3" s="11"/>
      <c r="C3" s="2"/>
      <c r="D3" s="11"/>
      <c r="E3" s="11"/>
      <c r="F3" s="2"/>
      <c r="G3" s="2"/>
      <c r="H3" s="11"/>
    </row>
    <row r="4">
      <c r="A4" s="2"/>
      <c r="B4" s="11"/>
      <c r="C4" s="2"/>
      <c r="D4" s="11"/>
      <c r="E4" s="11"/>
      <c r="F4" s="2"/>
      <c r="G4" s="2"/>
      <c r="H4" s="11"/>
    </row>
    <row r="5">
      <c r="A5" s="2"/>
      <c r="B5" s="11"/>
      <c r="C5" s="2"/>
      <c r="D5" s="11"/>
      <c r="E5" s="11"/>
      <c r="F5" s="2"/>
      <c r="G5" s="2"/>
      <c r="H5" s="11"/>
    </row>
    <row r="6">
      <c r="A6" s="2"/>
      <c r="B6" s="11"/>
      <c r="C6" s="2"/>
      <c r="D6" s="11"/>
      <c r="E6" s="11"/>
      <c r="F6" s="2"/>
      <c r="G6" s="2"/>
      <c r="H6" s="11"/>
    </row>
    <row r="7">
      <c r="A7" s="2"/>
      <c r="B7" s="11"/>
      <c r="C7" s="2"/>
      <c r="D7" s="11"/>
      <c r="E7" s="11"/>
      <c r="F7" s="2"/>
      <c r="G7" s="2"/>
      <c r="H7" s="11"/>
    </row>
    <row r="8">
      <c r="A8" s="2"/>
      <c r="B8" s="11"/>
      <c r="C8" s="2"/>
      <c r="D8" s="11"/>
      <c r="E8" s="11"/>
      <c r="F8" s="2"/>
      <c r="G8" s="2"/>
      <c r="H8" s="11"/>
    </row>
    <row r="9">
      <c r="A9" s="2"/>
      <c r="B9" s="11"/>
      <c r="C9" s="2"/>
      <c r="D9" s="11"/>
      <c r="E9" s="11"/>
      <c r="F9" s="2"/>
      <c r="G9" s="2"/>
      <c r="H9" s="11"/>
    </row>
    <row r="10">
      <c r="A10" s="2"/>
      <c r="B10" s="11"/>
      <c r="C10" s="2"/>
      <c r="D10" s="11"/>
      <c r="E10" s="11"/>
      <c r="F10" s="2"/>
      <c r="G10" s="2"/>
      <c r="H10" s="11"/>
    </row>
    <row r="11">
      <c r="A11" s="2"/>
      <c r="B11" s="11"/>
      <c r="C11" s="2"/>
      <c r="D11" s="11"/>
      <c r="E11" s="11"/>
      <c r="F11" s="2"/>
      <c r="G11" s="2"/>
      <c r="H11" s="11"/>
    </row>
    <row r="12">
      <c r="A12" s="2"/>
      <c r="B12" s="11"/>
      <c r="C12" s="2"/>
      <c r="D12" s="11"/>
      <c r="E12" s="11"/>
      <c r="F12" s="2"/>
      <c r="G12" s="2"/>
      <c r="H12" s="11"/>
    </row>
    <row r="13">
      <c r="A13" s="2"/>
      <c r="B13" s="11"/>
      <c r="C13" s="2"/>
      <c r="D13" s="11"/>
      <c r="E13" s="11"/>
      <c r="F13" s="2"/>
      <c r="G13" s="2"/>
      <c r="H13" s="11"/>
    </row>
    <row r="14">
      <c r="A14" s="2"/>
      <c r="B14" s="11"/>
      <c r="C14" s="2"/>
      <c r="D14" s="11"/>
      <c r="E14" s="11"/>
      <c r="F14" s="2"/>
      <c r="G14" s="2"/>
      <c r="H14" s="11"/>
    </row>
    <row r="15">
      <c r="A15" s="2"/>
      <c r="B15" s="11"/>
      <c r="C15" s="2"/>
      <c r="D15" s="11"/>
      <c r="E15" s="11"/>
      <c r="F15" s="2"/>
      <c r="G15" s="2"/>
      <c r="H15" s="11"/>
    </row>
    <row r="16">
      <c r="A16" s="2"/>
      <c r="B16" s="11"/>
      <c r="C16" s="2"/>
      <c r="D16" s="11"/>
      <c r="E16" s="11"/>
      <c r="F16" s="2"/>
      <c r="G16" s="2"/>
      <c r="H16" s="11"/>
    </row>
    <row r="17">
      <c r="A17" s="2"/>
      <c r="B17" s="11"/>
      <c r="C17" s="2"/>
      <c r="D17" s="11"/>
      <c r="E17" s="11"/>
      <c r="F17" s="2"/>
      <c r="G17" s="2"/>
      <c r="H17" s="11"/>
    </row>
    <row r="18">
      <c r="A18" s="2"/>
      <c r="B18" s="11"/>
      <c r="C18" s="2"/>
      <c r="D18" s="11"/>
      <c r="E18" s="11"/>
      <c r="F18" s="2"/>
      <c r="G18" s="2"/>
      <c r="H18" s="11"/>
    </row>
    <row r="19">
      <c r="A19" s="2"/>
      <c r="B19" s="11"/>
      <c r="C19" s="2"/>
      <c r="D19" s="11"/>
      <c r="E19" s="11"/>
      <c r="F19" s="2"/>
      <c r="G19" s="2"/>
      <c r="H19" s="11"/>
    </row>
    <row r="20">
      <c r="A20" s="2"/>
      <c r="B20" s="11"/>
      <c r="C20" s="2"/>
      <c r="D20" s="11"/>
      <c r="E20" s="11"/>
      <c r="F20" s="2"/>
      <c r="G20" s="2"/>
      <c r="H20" s="11"/>
    </row>
    <row r="21">
      <c r="A21" s="2"/>
      <c r="B21" s="11"/>
      <c r="C21" s="2"/>
      <c r="D21" s="11"/>
      <c r="E21" s="11"/>
      <c r="F21" s="2"/>
      <c r="G21" s="2"/>
      <c r="H21" s="11"/>
    </row>
    <row r="22">
      <c r="A22" s="2"/>
      <c r="B22" s="11"/>
      <c r="C22" s="2"/>
      <c r="D22" s="11"/>
      <c r="E22" s="11"/>
      <c r="F22" s="2"/>
      <c r="G22" s="2"/>
      <c r="H22" s="11"/>
    </row>
    <row r="23">
      <c r="A23" s="2"/>
      <c r="B23" s="11"/>
      <c r="C23" s="2"/>
      <c r="D23" s="11"/>
      <c r="E23" s="11"/>
      <c r="F23" s="2"/>
      <c r="G23" s="2"/>
      <c r="H23" s="11"/>
    </row>
    <row r="24">
      <c r="A24" s="2"/>
      <c r="B24" s="11"/>
      <c r="C24" s="2"/>
      <c r="D24" s="11"/>
      <c r="E24" s="11"/>
      <c r="F24" s="2"/>
      <c r="G24" s="2"/>
      <c r="H24" s="11"/>
    </row>
    <row r="25">
      <c r="A25" s="2"/>
      <c r="B25" s="11"/>
      <c r="C25" s="2"/>
      <c r="D25" s="11"/>
      <c r="E25" s="11"/>
      <c r="F25" s="2"/>
      <c r="G25" s="2"/>
      <c r="H25" s="11"/>
    </row>
    <row r="26">
      <c r="A26" s="2"/>
      <c r="B26" s="11"/>
      <c r="C26" s="2"/>
      <c r="D26" s="11"/>
      <c r="E26" s="11"/>
      <c r="F26" s="2"/>
      <c r="G26" s="2"/>
      <c r="H26" s="11"/>
    </row>
    <row r="27">
      <c r="A27" s="2"/>
      <c r="B27" s="11"/>
      <c r="C27" s="2"/>
      <c r="D27" s="11"/>
      <c r="E27" s="11"/>
      <c r="F27" s="2"/>
      <c r="G27" s="2"/>
      <c r="H27" s="11"/>
    </row>
    <row r="28">
      <c r="A28" s="2"/>
      <c r="B28" s="11"/>
      <c r="C28" s="2"/>
      <c r="D28" s="11"/>
      <c r="E28" s="11"/>
      <c r="F28" s="2"/>
      <c r="G28" s="2"/>
      <c r="H28" s="11"/>
    </row>
    <row r="29">
      <c r="A29" s="2"/>
      <c r="B29" s="11"/>
      <c r="C29" s="2"/>
      <c r="D29" s="11"/>
      <c r="E29" s="11"/>
      <c r="F29" s="2"/>
      <c r="G29" s="2"/>
      <c r="H29" s="11"/>
    </row>
    <row r="30">
      <c r="A30" s="2"/>
      <c r="B30" s="11"/>
      <c r="C30" s="2"/>
      <c r="D30" s="11"/>
      <c r="E30" s="11"/>
      <c r="F30" s="2"/>
      <c r="G30" s="2"/>
      <c r="H30" s="11"/>
    </row>
    <row r="31">
      <c r="A31" s="2"/>
      <c r="B31" s="11"/>
      <c r="C31" s="2"/>
      <c r="D31" s="11"/>
      <c r="E31" s="11"/>
      <c r="F31" s="2"/>
      <c r="G31" s="2"/>
      <c r="H31" s="11"/>
    </row>
    <row r="32">
      <c r="A32" s="2"/>
      <c r="B32" s="11"/>
      <c r="C32" s="2"/>
      <c r="D32" s="11"/>
      <c r="E32" s="11"/>
      <c r="F32" s="2"/>
      <c r="G32" s="2"/>
      <c r="H32" s="11"/>
    </row>
    <row r="33">
      <c r="A33" s="2"/>
      <c r="B33" s="11"/>
      <c r="C33" s="2"/>
      <c r="D33" s="11"/>
      <c r="E33" s="11"/>
      <c r="F33" s="2"/>
      <c r="G33" s="2"/>
      <c r="H33" s="11"/>
    </row>
    <row r="34">
      <c r="A34" s="2"/>
      <c r="B34" s="11"/>
      <c r="C34" s="2"/>
      <c r="D34" s="11"/>
      <c r="E34" s="11"/>
      <c r="F34" s="2"/>
      <c r="G34" s="2"/>
      <c r="H34" s="11"/>
    </row>
    <row r="35">
      <c r="A35" s="2"/>
      <c r="B35" s="11"/>
      <c r="C35" s="2"/>
      <c r="D35" s="11"/>
      <c r="E35" s="11"/>
      <c r="F35" s="2"/>
      <c r="G35" s="2"/>
      <c r="H35" s="11"/>
    </row>
    <row r="36">
      <c r="A36" s="2"/>
      <c r="B36" s="11"/>
      <c r="C36" s="2"/>
      <c r="D36" s="11"/>
      <c r="E36" s="11"/>
      <c r="F36" s="2"/>
      <c r="G36" s="2"/>
      <c r="H36" s="11"/>
    </row>
    <row r="37">
      <c r="A37" s="2"/>
      <c r="B37" s="11"/>
      <c r="C37" s="2"/>
      <c r="D37" s="11"/>
      <c r="E37" s="11"/>
      <c r="F37" s="2"/>
      <c r="G37" s="2"/>
      <c r="H37" s="11"/>
    </row>
    <row r="38">
      <c r="A38" s="2"/>
      <c r="B38" s="11"/>
      <c r="C38" s="2"/>
      <c r="D38" s="11"/>
      <c r="E38" s="11"/>
      <c r="F38" s="2"/>
      <c r="G38" s="2"/>
      <c r="H38" s="11"/>
    </row>
    <row r="39">
      <c r="A39" s="2"/>
      <c r="B39" s="11"/>
      <c r="C39" s="2"/>
      <c r="D39" s="11"/>
      <c r="E39" s="11"/>
      <c r="F39" s="2"/>
      <c r="G39" s="2"/>
      <c r="H39" s="11"/>
    </row>
    <row r="40">
      <c r="A40" s="2"/>
      <c r="B40" s="11"/>
      <c r="C40" s="2"/>
      <c r="D40" s="11"/>
      <c r="E40" s="11"/>
      <c r="F40" s="2"/>
      <c r="G40" s="2"/>
      <c r="H40" s="11"/>
    </row>
    <row r="41">
      <c r="A41" s="2"/>
      <c r="B41" s="11"/>
      <c r="C41" s="2"/>
      <c r="D41" s="11"/>
      <c r="E41" s="11"/>
      <c r="F41" s="2"/>
      <c r="G41" s="2"/>
      <c r="H41" s="11"/>
    </row>
    <row r="42">
      <c r="A42" s="2"/>
      <c r="B42" s="11"/>
      <c r="C42" s="2"/>
      <c r="D42" s="11"/>
      <c r="E42" s="11"/>
      <c r="F42" s="2"/>
      <c r="G42" s="2"/>
      <c r="H42" s="11"/>
    </row>
    <row r="43">
      <c r="A43" s="2"/>
      <c r="B43" s="11"/>
      <c r="C43" s="2"/>
      <c r="D43" s="11"/>
      <c r="E43" s="11"/>
      <c r="F43" s="2"/>
      <c r="G43" s="2"/>
      <c r="H43" s="11"/>
    </row>
    <row r="44">
      <c r="A44" s="2"/>
      <c r="B44" s="11"/>
      <c r="C44" s="2"/>
      <c r="D44" s="11"/>
      <c r="E44" s="11"/>
      <c r="F44" s="2"/>
      <c r="G44" s="2"/>
      <c r="H44" s="11"/>
    </row>
    <row r="45">
      <c r="A45" s="2"/>
      <c r="B45" s="11"/>
      <c r="C45" s="2"/>
      <c r="D45" s="11"/>
      <c r="E45" s="11"/>
      <c r="F45" s="2"/>
      <c r="G45" s="2"/>
      <c r="H45" s="11"/>
    </row>
    <row r="46">
      <c r="A46" s="2"/>
      <c r="B46" s="11"/>
      <c r="C46" s="2"/>
      <c r="D46" s="11"/>
      <c r="E46" s="11"/>
      <c r="F46" s="2"/>
      <c r="G46" s="2"/>
      <c r="H46" s="11"/>
    </row>
    <row r="47">
      <c r="A47" s="2"/>
      <c r="B47" s="11"/>
      <c r="C47" s="2"/>
      <c r="D47" s="11"/>
      <c r="E47" s="11"/>
      <c r="F47" s="2"/>
      <c r="G47" s="2"/>
      <c r="H47" s="11"/>
    </row>
    <row r="48">
      <c r="A48" s="2"/>
      <c r="B48" s="11"/>
      <c r="C48" s="2"/>
      <c r="D48" s="11"/>
      <c r="E48" s="11"/>
      <c r="F48" s="2"/>
      <c r="G48" s="2"/>
      <c r="H48" s="11"/>
    </row>
    <row r="49">
      <c r="A49" s="2"/>
      <c r="B49" s="11"/>
      <c r="C49" s="2"/>
      <c r="D49" s="11"/>
      <c r="E49" s="11"/>
      <c r="F49" s="2"/>
      <c r="G49" s="2"/>
      <c r="H49" s="11"/>
    </row>
    <row r="50">
      <c r="A50" s="2"/>
      <c r="B50" s="11"/>
      <c r="C50" s="2"/>
      <c r="D50" s="11"/>
      <c r="E50" s="11"/>
      <c r="F50" s="2"/>
      <c r="G50" s="2"/>
      <c r="H50" s="11"/>
    </row>
    <row r="51">
      <c r="A51" s="2"/>
      <c r="B51" s="11"/>
      <c r="C51" s="2"/>
      <c r="D51" s="11"/>
      <c r="E51" s="11"/>
      <c r="F51" s="2"/>
      <c r="G51" s="2"/>
      <c r="H51" s="11"/>
    </row>
    <row r="52">
      <c r="A52" s="2"/>
      <c r="B52" s="11"/>
      <c r="C52" s="2"/>
      <c r="D52" s="11"/>
      <c r="E52" s="11"/>
      <c r="F52" s="2"/>
      <c r="G52" s="2"/>
      <c r="H52" s="11"/>
    </row>
    <row r="53">
      <c r="A53" s="2"/>
      <c r="B53" s="11"/>
      <c r="C53" s="2"/>
      <c r="D53" s="11"/>
      <c r="E53" s="11"/>
      <c r="F53" s="2"/>
      <c r="G53" s="2"/>
      <c r="H53" s="11"/>
    </row>
    <row r="54">
      <c r="A54" s="2"/>
      <c r="B54" s="11"/>
      <c r="C54" s="2"/>
      <c r="D54" s="11"/>
      <c r="E54" s="11"/>
      <c r="F54" s="2"/>
      <c r="G54" s="2"/>
      <c r="H54" s="11"/>
    </row>
    <row r="55">
      <c r="A55" s="2"/>
      <c r="B55" s="11"/>
      <c r="C55" s="2"/>
      <c r="D55" s="11"/>
      <c r="E55" s="11"/>
      <c r="F55" s="2"/>
      <c r="G55" s="2"/>
      <c r="H55" s="11"/>
    </row>
    <row r="56">
      <c r="A56" s="2"/>
      <c r="B56" s="11"/>
      <c r="C56" s="2"/>
      <c r="D56" s="11"/>
      <c r="E56" s="11"/>
      <c r="F56" s="2"/>
      <c r="G56" s="2"/>
      <c r="H56" s="11"/>
    </row>
    <row r="57">
      <c r="A57" s="2"/>
      <c r="B57" s="11"/>
      <c r="C57" s="2"/>
      <c r="D57" s="11"/>
      <c r="E57" s="11"/>
      <c r="F57" s="2"/>
      <c r="G57" s="2"/>
      <c r="H57" s="11"/>
    </row>
    <row r="58">
      <c r="A58" s="2"/>
      <c r="B58" s="11"/>
      <c r="C58" s="2"/>
      <c r="D58" s="11"/>
      <c r="E58" s="11"/>
      <c r="F58" s="2"/>
      <c r="G58" s="2"/>
      <c r="H58" s="11"/>
    </row>
    <row r="59">
      <c r="A59" s="2"/>
      <c r="B59" s="11"/>
      <c r="C59" s="2"/>
      <c r="D59" s="11"/>
      <c r="E59" s="11"/>
      <c r="F59" s="2"/>
      <c r="G59" s="2"/>
      <c r="H59" s="11"/>
    </row>
    <row r="60">
      <c r="A60" s="2"/>
      <c r="B60" s="11"/>
      <c r="C60" s="2"/>
      <c r="D60" s="11"/>
      <c r="E60" s="11"/>
      <c r="F60" s="2"/>
      <c r="G60" s="2"/>
      <c r="H60" s="11"/>
    </row>
    <row r="61">
      <c r="A61" s="2"/>
      <c r="B61" s="11"/>
      <c r="C61" s="2"/>
      <c r="D61" s="11"/>
      <c r="E61" s="11"/>
      <c r="F61" s="2"/>
      <c r="G61" s="2"/>
      <c r="H61" s="11"/>
    </row>
    <row r="62">
      <c r="A62" s="2"/>
      <c r="B62" s="11"/>
      <c r="C62" s="2"/>
      <c r="D62" s="11"/>
      <c r="E62" s="11"/>
      <c r="F62" s="2"/>
      <c r="G62" s="2"/>
      <c r="H62" s="11"/>
    </row>
    <row r="63">
      <c r="A63" s="2"/>
      <c r="B63" s="11"/>
      <c r="C63" s="2"/>
      <c r="D63" s="11"/>
      <c r="E63" s="11"/>
      <c r="F63" s="2"/>
      <c r="G63" s="2"/>
      <c r="H63" s="11"/>
    </row>
    <row r="64">
      <c r="A64" s="2"/>
      <c r="B64" s="11"/>
      <c r="C64" s="2"/>
      <c r="D64" s="11"/>
      <c r="E64" s="11"/>
      <c r="F64" s="2"/>
      <c r="G64" s="2"/>
      <c r="H64" s="11"/>
    </row>
    <row r="65">
      <c r="A65" s="2"/>
      <c r="B65" s="11"/>
      <c r="C65" s="2"/>
      <c r="D65" s="11"/>
      <c r="E65" s="11"/>
      <c r="F65" s="2"/>
      <c r="G65" s="2"/>
      <c r="H65" s="11"/>
    </row>
    <row r="66">
      <c r="A66" s="2"/>
      <c r="B66" s="11"/>
      <c r="C66" s="2"/>
      <c r="D66" s="11"/>
      <c r="E66" s="11"/>
      <c r="F66" s="2"/>
      <c r="G66" s="2"/>
      <c r="H66" s="11"/>
    </row>
    <row r="67">
      <c r="A67" s="2"/>
      <c r="B67" s="11"/>
      <c r="C67" s="2"/>
      <c r="D67" s="11"/>
      <c r="E67" s="11"/>
      <c r="F67" s="2"/>
      <c r="G67" s="2"/>
      <c r="H67" s="11"/>
    </row>
    <row r="68">
      <c r="A68" s="2"/>
      <c r="B68" s="11"/>
      <c r="C68" s="2"/>
      <c r="D68" s="11"/>
      <c r="E68" s="11"/>
      <c r="F68" s="2"/>
      <c r="G68" s="2"/>
      <c r="H68" s="11"/>
    </row>
    <row r="69">
      <c r="A69" s="2"/>
      <c r="B69" s="11"/>
      <c r="C69" s="2"/>
      <c r="D69" s="11"/>
      <c r="E69" s="11"/>
      <c r="F69" s="2"/>
      <c r="G69" s="2"/>
      <c r="H69" s="11"/>
    </row>
    <row r="70">
      <c r="A70" s="2"/>
      <c r="B70" s="11"/>
      <c r="C70" s="2"/>
      <c r="D70" s="11"/>
      <c r="E70" s="11"/>
      <c r="F70" s="2"/>
      <c r="G70" s="2"/>
      <c r="H70" s="11"/>
    </row>
    <row r="71">
      <c r="A71" s="2"/>
      <c r="B71" s="11"/>
      <c r="C71" s="2"/>
      <c r="D71" s="11"/>
      <c r="E71" s="11"/>
      <c r="F71" s="2"/>
      <c r="G71" s="2"/>
      <c r="H71" s="11"/>
    </row>
    <row r="72">
      <c r="A72" s="2"/>
      <c r="B72" s="11"/>
      <c r="C72" s="2"/>
      <c r="D72" s="11"/>
      <c r="E72" s="11"/>
      <c r="F72" s="2"/>
      <c r="G72" s="2"/>
      <c r="H72" s="11"/>
    </row>
    <row r="73">
      <c r="A73" s="2"/>
      <c r="B73" s="11"/>
      <c r="C73" s="2"/>
      <c r="D73" s="11"/>
      <c r="E73" s="11"/>
      <c r="F73" s="2"/>
      <c r="G73" s="2"/>
      <c r="H73" s="11"/>
    </row>
    <row r="74">
      <c r="A74" s="2"/>
      <c r="B74" s="11"/>
      <c r="C74" s="2"/>
      <c r="D74" s="11"/>
      <c r="E74" s="11"/>
      <c r="F74" s="2"/>
      <c r="G74" s="2"/>
      <c r="H74" s="11"/>
    </row>
    <row r="75">
      <c r="A75" s="2"/>
      <c r="B75" s="11"/>
      <c r="C75" s="2"/>
      <c r="D75" s="11"/>
      <c r="E75" s="11"/>
      <c r="F75" s="2"/>
      <c r="G75" s="2"/>
      <c r="H75" s="11"/>
    </row>
    <row r="76">
      <c r="A76" s="2"/>
      <c r="B76" s="11"/>
      <c r="C76" s="2"/>
      <c r="D76" s="11"/>
      <c r="E76" s="11"/>
      <c r="F76" s="2"/>
      <c r="G76" s="2"/>
      <c r="H76" s="11"/>
    </row>
    <row r="77">
      <c r="A77" s="2"/>
      <c r="B77" s="11"/>
      <c r="C77" s="2"/>
      <c r="D77" s="11"/>
      <c r="E77" s="11"/>
      <c r="F77" s="2"/>
      <c r="G77" s="2"/>
      <c r="H77" s="11"/>
    </row>
    <row r="78">
      <c r="A78" s="2"/>
      <c r="B78" s="11"/>
      <c r="C78" s="2"/>
      <c r="D78" s="11"/>
      <c r="E78" s="11"/>
      <c r="F78" s="2"/>
      <c r="G78" s="2"/>
      <c r="H78" s="11"/>
    </row>
    <row r="79">
      <c r="A79" s="2"/>
      <c r="B79" s="11"/>
      <c r="C79" s="2"/>
      <c r="D79" s="11"/>
      <c r="E79" s="11"/>
      <c r="F79" s="2"/>
      <c r="G79" s="2"/>
      <c r="H79" s="11"/>
    </row>
    <row r="80">
      <c r="A80" s="2"/>
      <c r="B80" s="11"/>
      <c r="C80" s="2"/>
      <c r="D80" s="11"/>
      <c r="E80" s="11"/>
      <c r="F80" s="2"/>
      <c r="G80" s="2"/>
      <c r="H80" s="11"/>
    </row>
    <row r="81">
      <c r="A81" s="2"/>
      <c r="B81" s="11"/>
      <c r="C81" s="2"/>
      <c r="D81" s="11"/>
      <c r="E81" s="11"/>
      <c r="F81" s="2"/>
      <c r="G81" s="2"/>
      <c r="H81" s="11"/>
    </row>
    <row r="82">
      <c r="A82" s="2"/>
      <c r="B82" s="11"/>
      <c r="C82" s="2"/>
      <c r="D82" s="11"/>
      <c r="E82" s="11"/>
      <c r="F82" s="2"/>
      <c r="G82" s="2"/>
      <c r="H82" s="11"/>
    </row>
    <row r="83">
      <c r="A83" s="2"/>
      <c r="B83" s="11"/>
      <c r="C83" s="2"/>
      <c r="D83" s="11"/>
      <c r="E83" s="11"/>
      <c r="F83" s="2"/>
      <c r="G83" s="2"/>
      <c r="H83" s="11"/>
    </row>
    <row r="84">
      <c r="A84" s="2"/>
      <c r="B84" s="11"/>
      <c r="C84" s="2"/>
      <c r="D84" s="11"/>
      <c r="E84" s="11"/>
      <c r="F84" s="2"/>
      <c r="G84" s="2"/>
      <c r="H84" s="11"/>
    </row>
    <row r="85">
      <c r="A85" s="2"/>
      <c r="B85" s="11"/>
      <c r="C85" s="2"/>
      <c r="D85" s="11"/>
      <c r="E85" s="11"/>
      <c r="F85" s="2"/>
      <c r="G85" s="2"/>
      <c r="H85" s="11"/>
    </row>
    <row r="86">
      <c r="A86" s="2"/>
      <c r="B86" s="11"/>
      <c r="C86" s="2"/>
      <c r="D86" s="11"/>
      <c r="E86" s="11"/>
      <c r="F86" s="2"/>
      <c r="G86" s="2"/>
      <c r="H86" s="11"/>
    </row>
    <row r="87">
      <c r="A87" s="2"/>
      <c r="B87" s="11"/>
      <c r="C87" s="2"/>
      <c r="D87" s="11"/>
      <c r="E87" s="11"/>
      <c r="F87" s="2"/>
      <c r="G87" s="2"/>
      <c r="H87" s="11"/>
    </row>
    <row r="88">
      <c r="A88" s="2"/>
      <c r="B88" s="11"/>
      <c r="C88" s="2"/>
      <c r="D88" s="11"/>
      <c r="E88" s="11"/>
      <c r="F88" s="2"/>
      <c r="G88" s="2"/>
      <c r="H88" s="11"/>
    </row>
    <row r="89">
      <c r="A89" s="2"/>
      <c r="B89" s="11"/>
      <c r="C89" s="2"/>
      <c r="D89" s="11"/>
      <c r="E89" s="11"/>
      <c r="F89" s="2"/>
      <c r="G89" s="2"/>
      <c r="H89" s="11"/>
    </row>
    <row r="90">
      <c r="A90" s="2"/>
      <c r="B90" s="11"/>
      <c r="C90" s="2"/>
      <c r="D90" s="11"/>
      <c r="E90" s="11"/>
      <c r="F90" s="2"/>
      <c r="G90" s="2"/>
      <c r="H90" s="11"/>
    </row>
    <row r="91">
      <c r="A91" s="2"/>
      <c r="B91" s="11"/>
      <c r="C91" s="2"/>
      <c r="D91" s="11"/>
      <c r="E91" s="11"/>
      <c r="F91" s="2"/>
      <c r="G91" s="2"/>
      <c r="H91" s="11"/>
    </row>
    <row r="92">
      <c r="A92" s="2"/>
      <c r="B92" s="11"/>
      <c r="C92" s="2"/>
      <c r="D92" s="11"/>
      <c r="E92" s="11"/>
      <c r="F92" s="2"/>
      <c r="G92" s="2"/>
      <c r="H92" s="11"/>
    </row>
    <row r="93">
      <c r="A93" s="2"/>
      <c r="B93" s="11"/>
      <c r="C93" s="2"/>
      <c r="D93" s="11"/>
      <c r="E93" s="11"/>
      <c r="F93" s="2"/>
      <c r="G93" s="2"/>
      <c r="H93" s="11"/>
    </row>
    <row r="94">
      <c r="A94" s="2"/>
      <c r="B94" s="11"/>
      <c r="C94" s="2"/>
      <c r="D94" s="11"/>
      <c r="E94" s="11"/>
      <c r="F94" s="2"/>
      <c r="G94" s="2"/>
      <c r="H94" s="11"/>
    </row>
    <row r="95">
      <c r="A95" s="2"/>
      <c r="B95" s="11"/>
      <c r="C95" s="2"/>
      <c r="D95" s="11"/>
      <c r="E95" s="11"/>
      <c r="F95" s="2"/>
      <c r="G95" s="2"/>
      <c r="H95" s="11"/>
    </row>
    <row r="96">
      <c r="A96" s="2"/>
      <c r="B96" s="11"/>
      <c r="C96" s="2"/>
      <c r="D96" s="11"/>
      <c r="E96" s="11"/>
      <c r="F96" s="2"/>
      <c r="G96" s="2"/>
      <c r="H96" s="11"/>
    </row>
    <row r="97">
      <c r="A97" s="2"/>
      <c r="B97" s="11"/>
      <c r="C97" s="2"/>
      <c r="D97" s="11"/>
      <c r="E97" s="11"/>
      <c r="F97" s="2"/>
      <c r="G97" s="2"/>
      <c r="H97" s="11"/>
    </row>
    <row r="98">
      <c r="A98" s="2"/>
      <c r="B98" s="11"/>
      <c r="C98" s="2"/>
      <c r="D98" s="11"/>
      <c r="E98" s="11"/>
      <c r="F98" s="2"/>
      <c r="G98" s="2"/>
      <c r="H98" s="11"/>
    </row>
    <row r="99">
      <c r="A99" s="2"/>
      <c r="B99" s="11"/>
      <c r="C99" s="2"/>
      <c r="D99" s="11"/>
      <c r="E99" s="11"/>
      <c r="F99" s="2"/>
      <c r="G99" s="2"/>
      <c r="H99" s="11"/>
    </row>
    <row r="100">
      <c r="A100" s="2"/>
      <c r="B100" s="11"/>
      <c r="C100" s="2"/>
      <c r="D100" s="11"/>
      <c r="E100" s="11"/>
      <c r="F100" s="2"/>
      <c r="G100" s="2"/>
      <c r="H100" s="11"/>
    </row>
    <row r="101">
      <c r="A101" s="2"/>
      <c r="B101" s="11"/>
      <c r="C101" s="2"/>
      <c r="D101" s="11"/>
      <c r="E101" s="11"/>
      <c r="F101" s="2"/>
      <c r="G101" s="2"/>
      <c r="H101" s="11"/>
    </row>
    <row r="102">
      <c r="A102" s="2"/>
      <c r="B102" s="11"/>
      <c r="C102" s="2"/>
      <c r="D102" s="11"/>
      <c r="E102" s="11"/>
      <c r="F102" s="2"/>
      <c r="G102" s="2"/>
      <c r="H102" s="11"/>
    </row>
    <row r="103">
      <c r="A103" s="2"/>
      <c r="B103" s="11"/>
      <c r="C103" s="2"/>
      <c r="D103" s="11"/>
      <c r="E103" s="11"/>
      <c r="F103" s="2"/>
      <c r="G103" s="2"/>
      <c r="H103" s="11"/>
    </row>
    <row r="104">
      <c r="A104" s="2"/>
      <c r="B104" s="11"/>
      <c r="C104" s="2"/>
      <c r="D104" s="11"/>
      <c r="E104" s="11"/>
      <c r="F104" s="2"/>
      <c r="G104" s="2"/>
      <c r="H104" s="11"/>
    </row>
    <row r="105">
      <c r="A105" s="2"/>
      <c r="B105" s="11"/>
      <c r="C105" s="2"/>
      <c r="D105" s="11"/>
      <c r="E105" s="11"/>
      <c r="F105" s="2"/>
      <c r="G105" s="2"/>
      <c r="H105" s="11"/>
    </row>
    <row r="106">
      <c r="A106" s="2"/>
      <c r="B106" s="11"/>
      <c r="C106" s="2"/>
      <c r="D106" s="11"/>
      <c r="E106" s="11"/>
      <c r="F106" s="2"/>
      <c r="G106" s="2"/>
      <c r="H106" s="11"/>
    </row>
    <row r="107">
      <c r="A107" s="2"/>
      <c r="B107" s="11"/>
      <c r="C107" s="2"/>
      <c r="D107" s="11"/>
      <c r="E107" s="11"/>
      <c r="F107" s="2"/>
      <c r="G107" s="2"/>
      <c r="H107" s="11"/>
    </row>
    <row r="108">
      <c r="A108" s="2"/>
      <c r="B108" s="11"/>
      <c r="C108" s="2"/>
      <c r="D108" s="11"/>
      <c r="E108" s="11"/>
      <c r="F108" s="2"/>
      <c r="G108" s="2"/>
      <c r="H108" s="11"/>
    </row>
    <row r="109">
      <c r="A109" s="2"/>
      <c r="B109" s="11"/>
      <c r="C109" s="2"/>
      <c r="D109" s="11"/>
      <c r="E109" s="11"/>
      <c r="F109" s="2"/>
      <c r="G109" s="2"/>
      <c r="H109" s="11"/>
    </row>
    <row r="110">
      <c r="A110" s="2"/>
      <c r="B110" s="11"/>
      <c r="C110" s="2"/>
      <c r="D110" s="11"/>
      <c r="E110" s="11"/>
      <c r="F110" s="2"/>
      <c r="G110" s="2"/>
      <c r="H110" s="11"/>
    </row>
    <row r="111">
      <c r="A111" s="2"/>
      <c r="B111" s="11"/>
      <c r="C111" s="2"/>
      <c r="D111" s="11"/>
      <c r="E111" s="11"/>
      <c r="F111" s="2"/>
      <c r="G111" s="2"/>
      <c r="H111" s="11"/>
    </row>
    <row r="112">
      <c r="A112" s="2"/>
      <c r="B112" s="11"/>
      <c r="C112" s="2"/>
      <c r="D112" s="11"/>
      <c r="E112" s="11"/>
      <c r="F112" s="2"/>
      <c r="G112" s="2"/>
      <c r="H112" s="11"/>
    </row>
    <row r="113">
      <c r="A113" s="2"/>
      <c r="B113" s="11"/>
      <c r="C113" s="2"/>
      <c r="D113" s="11"/>
      <c r="E113" s="11"/>
      <c r="F113" s="2"/>
      <c r="G113" s="2"/>
      <c r="H113" s="11"/>
    </row>
    <row r="114">
      <c r="A114" s="2"/>
      <c r="B114" s="11"/>
      <c r="C114" s="2"/>
      <c r="D114" s="11"/>
      <c r="E114" s="11"/>
      <c r="F114" s="2"/>
      <c r="G114" s="2"/>
      <c r="H114" s="11"/>
    </row>
    <row r="115">
      <c r="A115" s="2"/>
      <c r="B115" s="11"/>
      <c r="C115" s="2"/>
      <c r="D115" s="11"/>
      <c r="E115" s="11"/>
      <c r="F115" s="2"/>
      <c r="G115" s="2"/>
      <c r="H115" s="11"/>
    </row>
    <row r="116">
      <c r="A116" s="2"/>
      <c r="B116" s="11"/>
      <c r="C116" s="2"/>
      <c r="D116" s="11"/>
      <c r="E116" s="11"/>
      <c r="F116" s="2"/>
      <c r="G116" s="2"/>
      <c r="H116" s="11"/>
    </row>
    <row r="117">
      <c r="A117" s="2"/>
      <c r="B117" s="11"/>
      <c r="C117" s="2"/>
      <c r="D117" s="11"/>
      <c r="E117" s="11"/>
      <c r="F117" s="2"/>
      <c r="G117" s="2"/>
      <c r="H117" s="11"/>
    </row>
    <row r="118">
      <c r="A118" s="2"/>
      <c r="B118" s="11"/>
      <c r="C118" s="2"/>
      <c r="D118" s="11"/>
      <c r="E118" s="11"/>
      <c r="F118" s="2"/>
      <c r="G118" s="2"/>
      <c r="H118" s="11"/>
    </row>
    <row r="119">
      <c r="A119" s="2"/>
      <c r="B119" s="11"/>
      <c r="C119" s="2"/>
      <c r="D119" s="11"/>
      <c r="E119" s="11"/>
      <c r="F119" s="2"/>
      <c r="G119" s="2"/>
      <c r="H119" s="11"/>
    </row>
    <row r="120">
      <c r="A120" s="2"/>
      <c r="B120" s="11"/>
      <c r="C120" s="2"/>
      <c r="D120" s="11"/>
      <c r="E120" s="11"/>
      <c r="F120" s="2"/>
      <c r="G120" s="2"/>
      <c r="H120" s="11"/>
    </row>
    <row r="121">
      <c r="A121" s="2"/>
      <c r="B121" s="11"/>
      <c r="C121" s="2"/>
      <c r="D121" s="11"/>
      <c r="E121" s="11"/>
      <c r="F121" s="2"/>
      <c r="G121" s="2"/>
      <c r="H121" s="11"/>
    </row>
    <row r="122">
      <c r="A122" s="2"/>
      <c r="B122" s="11"/>
      <c r="C122" s="2"/>
      <c r="D122" s="11"/>
      <c r="E122" s="11"/>
      <c r="F122" s="2"/>
      <c r="G122" s="2"/>
      <c r="H122" s="11"/>
    </row>
    <row r="123">
      <c r="A123" s="2"/>
      <c r="B123" s="11"/>
      <c r="C123" s="2"/>
      <c r="D123" s="11"/>
      <c r="E123" s="11"/>
      <c r="F123" s="2"/>
      <c r="G123" s="2"/>
      <c r="H123" s="11"/>
    </row>
    <row r="124">
      <c r="A124" s="2"/>
      <c r="B124" s="11"/>
      <c r="C124" s="2"/>
      <c r="D124" s="11"/>
      <c r="E124" s="11"/>
      <c r="F124" s="2"/>
      <c r="G124" s="2"/>
      <c r="H124" s="11"/>
    </row>
    <row r="125">
      <c r="A125" s="2"/>
      <c r="B125" s="11"/>
      <c r="C125" s="2"/>
      <c r="D125" s="11"/>
      <c r="E125" s="11"/>
      <c r="F125" s="2"/>
      <c r="G125" s="2"/>
      <c r="H125" s="11"/>
    </row>
    <row r="126">
      <c r="A126" s="2"/>
      <c r="B126" s="11"/>
      <c r="C126" s="2"/>
      <c r="D126" s="11"/>
      <c r="E126" s="11"/>
      <c r="F126" s="2"/>
      <c r="G126" s="2"/>
      <c r="H126" s="11"/>
    </row>
    <row r="127">
      <c r="A127" s="2"/>
      <c r="B127" s="11"/>
      <c r="C127" s="2"/>
      <c r="D127" s="11"/>
      <c r="E127" s="11"/>
      <c r="F127" s="2"/>
      <c r="G127" s="2"/>
      <c r="H127" s="11"/>
    </row>
    <row r="128">
      <c r="A128" s="2"/>
      <c r="B128" s="11"/>
      <c r="C128" s="2"/>
      <c r="D128" s="11"/>
      <c r="E128" s="11"/>
      <c r="F128" s="2"/>
      <c r="G128" s="2"/>
      <c r="H128" s="11"/>
    </row>
    <row r="129">
      <c r="A129" s="2"/>
      <c r="B129" s="11"/>
      <c r="C129" s="2"/>
      <c r="D129" s="11"/>
      <c r="E129" s="11"/>
      <c r="F129" s="2"/>
      <c r="G129" s="2"/>
      <c r="H129" s="11"/>
    </row>
    <row r="130">
      <c r="A130" s="2"/>
      <c r="B130" s="11"/>
      <c r="C130" s="2"/>
      <c r="D130" s="11"/>
      <c r="E130" s="11"/>
      <c r="F130" s="2"/>
      <c r="G130" s="2"/>
      <c r="H130" s="11"/>
    </row>
    <row r="131">
      <c r="A131" s="2"/>
      <c r="B131" s="11"/>
      <c r="C131" s="2"/>
      <c r="D131" s="11"/>
      <c r="E131" s="11"/>
      <c r="F131" s="2"/>
      <c r="G131" s="2"/>
      <c r="H131" s="11"/>
    </row>
    <row r="132">
      <c r="A132" s="2"/>
      <c r="B132" s="11"/>
      <c r="C132" s="2"/>
      <c r="D132" s="11"/>
      <c r="E132" s="11"/>
      <c r="F132" s="2"/>
      <c r="G132" s="2"/>
      <c r="H132" s="11"/>
    </row>
    <row r="133">
      <c r="A133" s="2"/>
      <c r="B133" s="11"/>
      <c r="C133" s="2"/>
      <c r="D133" s="11"/>
      <c r="E133" s="11"/>
      <c r="F133" s="2"/>
      <c r="G133" s="2"/>
      <c r="H133" s="11"/>
    </row>
    <row r="134">
      <c r="A134" s="2"/>
      <c r="B134" s="11"/>
      <c r="C134" s="2"/>
      <c r="D134" s="11"/>
      <c r="E134" s="11"/>
      <c r="F134" s="2"/>
      <c r="G134" s="2"/>
      <c r="H134" s="11"/>
    </row>
    <row r="135">
      <c r="A135" s="2"/>
      <c r="B135" s="11"/>
      <c r="C135" s="2"/>
      <c r="D135" s="11"/>
      <c r="E135" s="11"/>
      <c r="F135" s="2"/>
      <c r="G135" s="2"/>
      <c r="H135" s="11"/>
    </row>
    <row r="136">
      <c r="A136" s="2"/>
      <c r="B136" s="11"/>
      <c r="C136" s="2"/>
      <c r="D136" s="11"/>
      <c r="E136" s="11"/>
      <c r="F136" s="2"/>
      <c r="G136" s="2"/>
      <c r="H136" s="11"/>
    </row>
    <row r="137">
      <c r="A137" s="2"/>
      <c r="B137" s="11"/>
      <c r="C137" s="2"/>
      <c r="D137" s="11"/>
      <c r="E137" s="11"/>
      <c r="F137" s="2"/>
      <c r="G137" s="2"/>
      <c r="H137" s="11"/>
    </row>
    <row r="138">
      <c r="A138" s="2"/>
      <c r="B138" s="11"/>
      <c r="C138" s="2"/>
      <c r="D138" s="11"/>
      <c r="E138" s="11"/>
      <c r="F138" s="2"/>
      <c r="G138" s="2"/>
      <c r="H138" s="11"/>
    </row>
    <row r="139">
      <c r="A139" s="2"/>
      <c r="B139" s="11"/>
      <c r="C139" s="2"/>
      <c r="D139" s="11"/>
      <c r="E139" s="11"/>
      <c r="F139" s="2"/>
      <c r="G139" s="2"/>
      <c r="H139" s="11"/>
    </row>
    <row r="140">
      <c r="A140" s="2"/>
      <c r="B140" s="11"/>
      <c r="C140" s="2"/>
      <c r="D140" s="11"/>
      <c r="E140" s="11"/>
      <c r="F140" s="2"/>
      <c r="G140" s="2"/>
      <c r="H140" s="11"/>
    </row>
    <row r="141">
      <c r="A141" s="2"/>
      <c r="B141" s="11"/>
      <c r="C141" s="2"/>
      <c r="D141" s="11"/>
      <c r="E141" s="11"/>
      <c r="F141" s="2"/>
      <c r="G141" s="2"/>
      <c r="H141" s="11"/>
    </row>
    <row r="142">
      <c r="A142" s="2"/>
      <c r="B142" s="11"/>
      <c r="C142" s="2"/>
      <c r="D142" s="11"/>
      <c r="E142" s="11"/>
      <c r="F142" s="2"/>
      <c r="G142" s="2"/>
      <c r="H142" s="11"/>
    </row>
    <row r="143">
      <c r="A143" s="2"/>
      <c r="B143" s="11"/>
      <c r="C143" s="2"/>
      <c r="D143" s="11"/>
      <c r="E143" s="11"/>
      <c r="F143" s="2"/>
      <c r="G143" s="2"/>
      <c r="H143" s="11"/>
    </row>
    <row r="144">
      <c r="A144" s="2"/>
      <c r="B144" s="11"/>
      <c r="C144" s="2"/>
      <c r="D144" s="11"/>
      <c r="E144" s="11"/>
      <c r="F144" s="2"/>
      <c r="G144" s="2"/>
      <c r="H144" s="11"/>
    </row>
    <row r="145">
      <c r="A145" s="2"/>
      <c r="B145" s="11"/>
      <c r="C145" s="2"/>
      <c r="D145" s="11"/>
      <c r="E145" s="11"/>
      <c r="F145" s="2"/>
      <c r="G145" s="2"/>
      <c r="H145" s="11"/>
    </row>
    <row r="146">
      <c r="A146" s="2"/>
      <c r="B146" s="11"/>
      <c r="C146" s="2"/>
      <c r="D146" s="11"/>
      <c r="E146" s="11"/>
      <c r="F146" s="2"/>
      <c r="G146" s="2"/>
      <c r="H146" s="11"/>
    </row>
    <row r="147">
      <c r="A147" s="2"/>
      <c r="B147" s="11"/>
      <c r="C147" s="2"/>
      <c r="D147" s="11"/>
      <c r="E147" s="11"/>
      <c r="F147" s="2"/>
      <c r="G147" s="2"/>
      <c r="H147" s="11"/>
    </row>
    <row r="148">
      <c r="A148" s="2"/>
      <c r="B148" s="11"/>
      <c r="C148" s="2"/>
      <c r="D148" s="11"/>
      <c r="E148" s="11"/>
      <c r="F148" s="2"/>
      <c r="G148" s="2"/>
      <c r="H148" s="11"/>
    </row>
    <row r="149">
      <c r="A149" s="2"/>
      <c r="B149" s="11"/>
      <c r="C149" s="2"/>
      <c r="D149" s="11"/>
      <c r="E149" s="11"/>
      <c r="F149" s="2"/>
      <c r="G149" s="2"/>
      <c r="H149" s="11"/>
    </row>
    <row r="150">
      <c r="A150" s="2"/>
      <c r="B150" s="11"/>
      <c r="C150" s="2"/>
      <c r="D150" s="11"/>
      <c r="E150" s="11"/>
      <c r="F150" s="2"/>
      <c r="G150" s="2"/>
      <c r="H150" s="11"/>
    </row>
    <row r="151">
      <c r="A151" s="2"/>
      <c r="B151" s="11"/>
      <c r="C151" s="2"/>
      <c r="D151" s="11"/>
      <c r="E151" s="11"/>
      <c r="F151" s="2"/>
      <c r="G151" s="2"/>
      <c r="H151" s="11"/>
    </row>
    <row r="152">
      <c r="A152" s="2"/>
      <c r="B152" s="11"/>
      <c r="C152" s="2"/>
      <c r="D152" s="11"/>
      <c r="E152" s="11"/>
      <c r="F152" s="2"/>
      <c r="G152" s="2"/>
      <c r="H152" s="11"/>
    </row>
    <row r="153">
      <c r="A153" s="2"/>
      <c r="B153" s="11"/>
      <c r="C153" s="2"/>
      <c r="D153" s="11"/>
      <c r="E153" s="11"/>
      <c r="F153" s="2"/>
      <c r="G153" s="2"/>
      <c r="H153" s="11"/>
    </row>
    <row r="154">
      <c r="A154" s="2"/>
      <c r="B154" s="11"/>
      <c r="C154" s="2"/>
      <c r="D154" s="11"/>
      <c r="E154" s="11"/>
      <c r="F154" s="2"/>
      <c r="G154" s="2"/>
      <c r="H154" s="11"/>
    </row>
    <row r="155">
      <c r="A155" s="2"/>
      <c r="B155" s="11"/>
      <c r="C155" s="2"/>
      <c r="D155" s="11"/>
      <c r="E155" s="11"/>
      <c r="F155" s="2"/>
      <c r="G155" s="2"/>
      <c r="H155" s="11"/>
    </row>
    <row r="156">
      <c r="A156" s="2"/>
      <c r="B156" s="11"/>
      <c r="C156" s="2"/>
      <c r="D156" s="11"/>
      <c r="E156" s="11"/>
      <c r="F156" s="2"/>
      <c r="G156" s="2"/>
      <c r="H156" s="11"/>
    </row>
    <row r="157">
      <c r="A157" s="2"/>
      <c r="B157" s="11"/>
      <c r="C157" s="2"/>
      <c r="D157" s="11"/>
      <c r="E157" s="11"/>
      <c r="F157" s="2"/>
      <c r="G157" s="2"/>
      <c r="H157" s="11"/>
    </row>
    <row r="158">
      <c r="A158" s="2"/>
      <c r="B158" s="11"/>
      <c r="C158" s="2"/>
      <c r="D158" s="11"/>
      <c r="E158" s="11"/>
      <c r="F158" s="2"/>
      <c r="G158" s="2"/>
      <c r="H158" s="11"/>
    </row>
    <row r="159">
      <c r="A159" s="2"/>
      <c r="B159" s="11"/>
      <c r="C159" s="2"/>
      <c r="D159" s="11"/>
      <c r="E159" s="11"/>
      <c r="F159" s="2"/>
      <c r="G159" s="2"/>
      <c r="H159" s="11"/>
    </row>
    <row r="160">
      <c r="A160" s="2"/>
      <c r="B160" s="11"/>
      <c r="C160" s="2"/>
      <c r="D160" s="11"/>
      <c r="E160" s="11"/>
      <c r="F160" s="2"/>
      <c r="G160" s="2"/>
      <c r="H160" s="11"/>
    </row>
    <row r="161">
      <c r="A161" s="2"/>
      <c r="B161" s="11"/>
      <c r="C161" s="2"/>
      <c r="D161" s="11"/>
      <c r="E161" s="11"/>
      <c r="F161" s="2"/>
      <c r="G161" s="2"/>
      <c r="H161" s="11"/>
    </row>
    <row r="162">
      <c r="A162" s="2"/>
      <c r="B162" s="11"/>
      <c r="C162" s="2"/>
      <c r="D162" s="11"/>
      <c r="E162" s="11"/>
      <c r="F162" s="2"/>
      <c r="G162" s="2"/>
      <c r="H162" s="11"/>
    </row>
    <row r="163">
      <c r="A163" s="2"/>
      <c r="B163" s="11"/>
      <c r="C163" s="2"/>
      <c r="D163" s="11"/>
      <c r="E163" s="11"/>
      <c r="F163" s="2"/>
      <c r="G163" s="2"/>
      <c r="H163" s="11"/>
    </row>
    <row r="164">
      <c r="A164" s="2"/>
      <c r="B164" s="11"/>
      <c r="C164" s="2"/>
      <c r="D164" s="11"/>
      <c r="E164" s="11"/>
      <c r="F164" s="2"/>
      <c r="G164" s="2"/>
      <c r="H164" s="11"/>
    </row>
    <row r="165">
      <c r="A165" s="2"/>
      <c r="B165" s="11"/>
      <c r="C165" s="2"/>
      <c r="D165" s="11"/>
      <c r="E165" s="11"/>
      <c r="F165" s="2"/>
      <c r="G165" s="2"/>
      <c r="H165" s="11"/>
    </row>
    <row r="166">
      <c r="A166" s="2"/>
      <c r="B166" s="11"/>
      <c r="C166" s="2"/>
      <c r="D166" s="11"/>
      <c r="E166" s="11"/>
      <c r="F166" s="2"/>
      <c r="G166" s="2"/>
      <c r="H166" s="11"/>
    </row>
    <row r="167">
      <c r="A167" s="2"/>
      <c r="B167" s="11"/>
      <c r="C167" s="2"/>
      <c r="D167" s="11"/>
      <c r="E167" s="11"/>
      <c r="F167" s="2"/>
      <c r="G167" s="2"/>
      <c r="H167" s="11"/>
    </row>
    <row r="168">
      <c r="A168" s="2"/>
      <c r="B168" s="11"/>
      <c r="C168" s="2"/>
      <c r="D168" s="11"/>
      <c r="E168" s="11"/>
      <c r="F168" s="2"/>
      <c r="G168" s="2"/>
      <c r="H168" s="11"/>
    </row>
    <row r="169">
      <c r="A169" s="2"/>
      <c r="B169" s="11"/>
      <c r="C169" s="2"/>
      <c r="D169" s="11"/>
      <c r="E169" s="11"/>
      <c r="F169" s="2"/>
      <c r="G169" s="2"/>
      <c r="H169" s="11"/>
    </row>
    <row r="170">
      <c r="A170" s="2"/>
      <c r="B170" s="11"/>
      <c r="C170" s="2"/>
      <c r="D170" s="11"/>
      <c r="E170" s="11"/>
      <c r="F170" s="2"/>
      <c r="G170" s="2"/>
      <c r="H170" s="11"/>
    </row>
    <row r="171">
      <c r="A171" s="2"/>
      <c r="B171" s="11"/>
      <c r="C171" s="2"/>
      <c r="D171" s="11"/>
      <c r="E171" s="11"/>
      <c r="F171" s="2"/>
      <c r="G171" s="2"/>
      <c r="H171" s="11"/>
    </row>
    <row r="172">
      <c r="A172" s="2"/>
      <c r="B172" s="11"/>
      <c r="C172" s="2"/>
      <c r="D172" s="11"/>
      <c r="E172" s="11"/>
      <c r="F172" s="2"/>
      <c r="G172" s="2"/>
      <c r="H172" s="11"/>
    </row>
    <row r="173">
      <c r="A173" s="2"/>
      <c r="B173" s="11"/>
      <c r="C173" s="2"/>
      <c r="D173" s="11"/>
      <c r="E173" s="11"/>
      <c r="F173" s="2"/>
      <c r="G173" s="2"/>
      <c r="H173" s="11"/>
    </row>
    <row r="174">
      <c r="A174" s="2"/>
      <c r="B174" s="11"/>
      <c r="C174" s="2"/>
      <c r="D174" s="11"/>
      <c r="E174" s="11"/>
      <c r="F174" s="2"/>
      <c r="G174" s="2"/>
      <c r="H174" s="11"/>
    </row>
    <row r="175">
      <c r="A175" s="2"/>
      <c r="B175" s="11"/>
      <c r="C175" s="2"/>
      <c r="D175" s="11"/>
      <c r="E175" s="11"/>
      <c r="F175" s="2"/>
      <c r="G175" s="2"/>
      <c r="H175" s="11"/>
    </row>
    <row r="176">
      <c r="A176" s="2"/>
      <c r="B176" s="11"/>
      <c r="C176" s="2"/>
      <c r="D176" s="11"/>
      <c r="E176" s="11"/>
      <c r="F176" s="2"/>
      <c r="G176" s="2"/>
      <c r="H176" s="11"/>
    </row>
    <row r="177">
      <c r="A177" s="2"/>
      <c r="B177" s="11"/>
      <c r="C177" s="2"/>
      <c r="D177" s="11"/>
      <c r="E177" s="11"/>
      <c r="F177" s="2"/>
      <c r="G177" s="2"/>
      <c r="H177" s="11"/>
    </row>
    <row r="178">
      <c r="A178" s="2"/>
      <c r="B178" s="11"/>
      <c r="C178" s="2"/>
      <c r="D178" s="11"/>
      <c r="E178" s="11"/>
      <c r="F178" s="2"/>
      <c r="G178" s="2"/>
      <c r="H178" s="11"/>
    </row>
    <row r="179">
      <c r="A179" s="2"/>
      <c r="B179" s="11"/>
      <c r="C179" s="2"/>
      <c r="D179" s="11"/>
      <c r="E179" s="11"/>
      <c r="F179" s="2"/>
      <c r="G179" s="2"/>
      <c r="H179" s="11"/>
    </row>
    <row r="180">
      <c r="A180" s="2"/>
      <c r="B180" s="11"/>
      <c r="C180" s="2"/>
      <c r="D180" s="11"/>
      <c r="E180" s="11"/>
      <c r="F180" s="2"/>
      <c r="G180" s="2"/>
      <c r="H180" s="11"/>
    </row>
    <row r="181">
      <c r="A181" s="2"/>
      <c r="B181" s="11"/>
      <c r="C181" s="2"/>
      <c r="D181" s="11"/>
      <c r="E181" s="11"/>
      <c r="F181" s="2"/>
      <c r="G181" s="2"/>
      <c r="H181" s="11"/>
    </row>
    <row r="182">
      <c r="A182" s="2"/>
      <c r="B182" s="11"/>
      <c r="C182" s="2"/>
      <c r="D182" s="11"/>
      <c r="E182" s="11"/>
      <c r="F182" s="2"/>
      <c r="G182" s="2"/>
      <c r="H182" s="11"/>
    </row>
    <row r="183">
      <c r="A183" s="2"/>
      <c r="B183" s="11"/>
      <c r="C183" s="2"/>
      <c r="D183" s="11"/>
      <c r="E183" s="11"/>
      <c r="F183" s="2"/>
      <c r="G183" s="2"/>
      <c r="H183" s="11"/>
    </row>
    <row r="184">
      <c r="A184" s="2"/>
      <c r="B184" s="11"/>
      <c r="C184" s="2"/>
      <c r="D184" s="11"/>
      <c r="E184" s="11"/>
      <c r="F184" s="2"/>
      <c r="G184" s="2"/>
      <c r="H184" s="11"/>
    </row>
    <row r="185">
      <c r="A185" s="2"/>
      <c r="B185" s="11"/>
      <c r="C185" s="2"/>
      <c r="D185" s="11"/>
      <c r="E185" s="11"/>
      <c r="F185" s="2"/>
      <c r="G185" s="2"/>
      <c r="H185" s="11"/>
    </row>
    <row r="186">
      <c r="A186" s="2"/>
      <c r="B186" s="11"/>
      <c r="C186" s="2"/>
      <c r="D186" s="11"/>
      <c r="E186" s="11"/>
      <c r="F186" s="2"/>
      <c r="G186" s="2"/>
      <c r="H186" s="11"/>
    </row>
    <row r="187">
      <c r="A187" s="2"/>
      <c r="B187" s="11"/>
      <c r="C187" s="2"/>
      <c r="D187" s="11"/>
      <c r="E187" s="11"/>
      <c r="F187" s="2"/>
      <c r="G187" s="2"/>
      <c r="H187" s="11"/>
    </row>
    <row r="188">
      <c r="A188" s="2"/>
      <c r="B188" s="11"/>
      <c r="C188" s="2"/>
      <c r="D188" s="11"/>
      <c r="E188" s="11"/>
      <c r="F188" s="2"/>
      <c r="G188" s="2"/>
      <c r="H188" s="11"/>
    </row>
    <row r="189">
      <c r="A189" s="2"/>
      <c r="B189" s="11"/>
      <c r="C189" s="2"/>
      <c r="D189" s="11"/>
      <c r="E189" s="11"/>
      <c r="F189" s="2"/>
      <c r="G189" s="2"/>
      <c r="H189" s="11"/>
    </row>
    <row r="190">
      <c r="A190" s="2"/>
      <c r="B190" s="11"/>
      <c r="C190" s="2"/>
      <c r="D190" s="11"/>
      <c r="E190" s="11"/>
      <c r="F190" s="2"/>
      <c r="G190" s="2"/>
      <c r="H190" s="11"/>
    </row>
    <row r="191">
      <c r="A191" s="2"/>
      <c r="B191" s="11"/>
      <c r="C191" s="2"/>
      <c r="D191" s="11"/>
      <c r="E191" s="11"/>
      <c r="F191" s="2"/>
      <c r="G191" s="2"/>
      <c r="H191" s="11"/>
    </row>
    <row r="192">
      <c r="A192" s="2"/>
      <c r="B192" s="11"/>
      <c r="C192" s="2"/>
      <c r="D192" s="11"/>
      <c r="E192" s="11"/>
      <c r="F192" s="2"/>
      <c r="G192" s="2"/>
      <c r="H192" s="11"/>
    </row>
    <row r="193">
      <c r="A193" s="2"/>
      <c r="B193" s="11"/>
      <c r="C193" s="2"/>
      <c r="D193" s="11"/>
      <c r="E193" s="11"/>
      <c r="F193" s="2"/>
      <c r="G193" s="2"/>
      <c r="H193" s="11"/>
    </row>
    <row r="194">
      <c r="A194" s="2"/>
      <c r="B194" s="11"/>
      <c r="C194" s="2"/>
      <c r="D194" s="11"/>
      <c r="E194" s="11"/>
      <c r="F194" s="2"/>
      <c r="G194" s="2"/>
      <c r="H194" s="11"/>
    </row>
    <row r="195">
      <c r="A195" s="2"/>
      <c r="B195" s="11"/>
      <c r="C195" s="2"/>
      <c r="D195" s="11"/>
      <c r="E195" s="11"/>
      <c r="F195" s="2"/>
      <c r="G195" s="2"/>
      <c r="H195" s="11"/>
    </row>
    <row r="196">
      <c r="A196" s="2"/>
      <c r="B196" s="11"/>
      <c r="C196" s="2"/>
      <c r="D196" s="11"/>
      <c r="E196" s="11"/>
      <c r="F196" s="2"/>
      <c r="G196" s="2"/>
      <c r="H196" s="11"/>
    </row>
    <row r="197">
      <c r="A197" s="2"/>
      <c r="B197" s="11"/>
      <c r="C197" s="2"/>
      <c r="D197" s="11"/>
      <c r="E197" s="11"/>
      <c r="F197" s="2"/>
      <c r="G197" s="2"/>
      <c r="H197" s="11"/>
    </row>
    <row r="198">
      <c r="A198" s="2"/>
      <c r="B198" s="11"/>
      <c r="C198" s="2"/>
      <c r="D198" s="11"/>
      <c r="E198" s="11"/>
      <c r="F198" s="2"/>
      <c r="G198" s="2"/>
      <c r="H198" s="11"/>
    </row>
    <row r="199">
      <c r="A199" s="2"/>
      <c r="B199" s="11"/>
      <c r="C199" s="2"/>
      <c r="D199" s="11"/>
      <c r="E199" s="11"/>
      <c r="F199" s="2"/>
      <c r="G199" s="2"/>
      <c r="H199" s="11"/>
    </row>
    <row r="200">
      <c r="A200" s="2"/>
      <c r="B200" s="11"/>
      <c r="C200" s="2"/>
      <c r="D200" s="11"/>
      <c r="E200" s="11"/>
      <c r="F200" s="2"/>
      <c r="G200" s="2"/>
      <c r="H200" s="11"/>
    </row>
    <row r="201">
      <c r="A201" s="2"/>
      <c r="B201" s="11"/>
      <c r="C201" s="2"/>
      <c r="D201" s="11"/>
      <c r="E201" s="11"/>
      <c r="F201" s="2"/>
      <c r="G201" s="2"/>
      <c r="H201" s="11"/>
    </row>
    <row r="202">
      <c r="A202" s="2"/>
      <c r="B202" s="11"/>
      <c r="C202" s="2"/>
      <c r="D202" s="11"/>
      <c r="E202" s="11"/>
      <c r="F202" s="2"/>
      <c r="G202" s="2"/>
      <c r="H202" s="11"/>
    </row>
    <row r="203">
      <c r="A203" s="2"/>
      <c r="B203" s="11"/>
      <c r="C203" s="2"/>
      <c r="D203" s="11"/>
      <c r="E203" s="11"/>
      <c r="F203" s="2"/>
      <c r="G203" s="2"/>
      <c r="H203" s="11"/>
    </row>
    <row r="204">
      <c r="A204" s="2"/>
      <c r="B204" s="11"/>
      <c r="C204" s="2"/>
      <c r="D204" s="11"/>
      <c r="E204" s="11"/>
      <c r="F204" s="2"/>
      <c r="G204" s="2"/>
      <c r="H204" s="11"/>
    </row>
    <row r="205">
      <c r="A205" s="2"/>
      <c r="B205" s="11"/>
      <c r="C205" s="2"/>
      <c r="D205" s="11"/>
      <c r="E205" s="11"/>
      <c r="F205" s="2"/>
      <c r="G205" s="2"/>
      <c r="H205" s="11"/>
    </row>
    <row r="206">
      <c r="A206" s="2"/>
      <c r="B206" s="11"/>
      <c r="C206" s="2"/>
      <c r="D206" s="11"/>
      <c r="E206" s="11"/>
      <c r="F206" s="2"/>
      <c r="G206" s="2"/>
      <c r="H206" s="11"/>
    </row>
    <row r="207">
      <c r="A207" s="2"/>
      <c r="B207" s="11"/>
      <c r="C207" s="2"/>
      <c r="D207" s="11"/>
      <c r="E207" s="11"/>
      <c r="F207" s="2"/>
      <c r="G207" s="2"/>
      <c r="H207" s="11"/>
    </row>
    <row r="208">
      <c r="A208" s="2"/>
      <c r="B208" s="11"/>
      <c r="C208" s="2"/>
      <c r="D208" s="11"/>
      <c r="E208" s="11"/>
      <c r="F208" s="2"/>
      <c r="G208" s="2"/>
      <c r="H208" s="11"/>
    </row>
    <row r="209">
      <c r="A209" s="2"/>
      <c r="B209" s="11"/>
      <c r="C209" s="2"/>
      <c r="D209" s="11"/>
      <c r="E209" s="11"/>
      <c r="F209" s="2"/>
      <c r="G209" s="2"/>
      <c r="H209" s="11"/>
    </row>
    <row r="210">
      <c r="A210" s="2"/>
      <c r="B210" s="11"/>
      <c r="C210" s="2"/>
      <c r="D210" s="11"/>
      <c r="E210" s="11"/>
      <c r="F210" s="2"/>
      <c r="G210" s="2"/>
      <c r="H210" s="11"/>
    </row>
    <row r="211">
      <c r="A211" s="2"/>
      <c r="B211" s="11"/>
      <c r="C211" s="2"/>
      <c r="D211" s="11"/>
      <c r="E211" s="11"/>
      <c r="F211" s="2"/>
      <c r="G211" s="2"/>
      <c r="H211" s="11"/>
    </row>
    <row r="212">
      <c r="A212" s="2"/>
      <c r="B212" s="11"/>
      <c r="C212" s="2"/>
      <c r="D212" s="11"/>
      <c r="E212" s="11"/>
      <c r="F212" s="2"/>
      <c r="G212" s="2"/>
      <c r="H212" s="11"/>
    </row>
    <row r="213">
      <c r="A213" s="2"/>
      <c r="B213" s="11"/>
      <c r="C213" s="2"/>
      <c r="D213" s="11"/>
      <c r="E213" s="11"/>
      <c r="F213" s="2"/>
      <c r="G213" s="2"/>
      <c r="H213" s="11"/>
    </row>
    <row r="214">
      <c r="A214" s="2"/>
      <c r="B214" s="11"/>
      <c r="C214" s="2"/>
      <c r="D214" s="11"/>
      <c r="E214" s="11"/>
      <c r="F214" s="2"/>
      <c r="G214" s="2"/>
      <c r="H214" s="11"/>
    </row>
    <row r="215">
      <c r="A215" s="2"/>
      <c r="B215" s="11"/>
      <c r="C215" s="2"/>
      <c r="D215" s="11"/>
      <c r="E215" s="11"/>
      <c r="F215" s="2"/>
      <c r="G215" s="2"/>
      <c r="H215" s="11"/>
    </row>
    <row r="216">
      <c r="A216" s="2"/>
      <c r="B216" s="11"/>
      <c r="C216" s="2"/>
      <c r="D216" s="11"/>
      <c r="E216" s="11"/>
      <c r="F216" s="2"/>
      <c r="G216" s="2"/>
      <c r="H216" s="11"/>
    </row>
    <row r="217">
      <c r="A217" s="2"/>
      <c r="B217" s="11"/>
      <c r="C217" s="2"/>
      <c r="D217" s="11"/>
      <c r="E217" s="11"/>
      <c r="F217" s="2"/>
      <c r="G217" s="2"/>
      <c r="H217" s="11"/>
    </row>
    <row r="218">
      <c r="A218" s="2"/>
      <c r="B218" s="11"/>
      <c r="C218" s="2"/>
      <c r="D218" s="11"/>
      <c r="E218" s="11"/>
      <c r="F218" s="2"/>
      <c r="G218" s="2"/>
      <c r="H218" s="11"/>
    </row>
    <row r="219">
      <c r="A219" s="2"/>
      <c r="B219" s="11"/>
      <c r="C219" s="2"/>
      <c r="D219" s="11"/>
      <c r="E219" s="11"/>
      <c r="F219" s="2"/>
      <c r="G219" s="2"/>
      <c r="H219" s="11"/>
    </row>
    <row r="220">
      <c r="A220" s="2"/>
      <c r="B220" s="11"/>
      <c r="C220" s="2"/>
      <c r="D220" s="11"/>
      <c r="E220" s="11"/>
      <c r="F220" s="2"/>
      <c r="G220" s="2"/>
      <c r="H220" s="11"/>
    </row>
    <row r="221">
      <c r="A221" s="2"/>
      <c r="B221" s="11"/>
      <c r="C221" s="2"/>
      <c r="D221" s="11"/>
      <c r="E221" s="11"/>
      <c r="F221" s="2"/>
      <c r="G221" s="2"/>
      <c r="H221" s="11"/>
    </row>
    <row r="222">
      <c r="A222" s="2"/>
      <c r="B222" s="11"/>
      <c r="C222" s="2"/>
      <c r="D222" s="11"/>
      <c r="E222" s="11"/>
      <c r="F222" s="2"/>
      <c r="G222" s="2"/>
      <c r="H222" s="11"/>
    </row>
    <row r="223">
      <c r="A223" s="2"/>
      <c r="B223" s="11"/>
      <c r="C223" s="2"/>
      <c r="D223" s="11"/>
      <c r="E223" s="11"/>
      <c r="F223" s="2"/>
      <c r="G223" s="2"/>
      <c r="H223" s="11"/>
    </row>
    <row r="224">
      <c r="A224" s="2"/>
      <c r="B224" s="11"/>
      <c r="C224" s="2"/>
      <c r="D224" s="11"/>
      <c r="E224" s="11"/>
      <c r="F224" s="2"/>
      <c r="G224" s="2"/>
      <c r="H224" s="11"/>
    </row>
    <row r="225">
      <c r="A225" s="2"/>
      <c r="B225" s="11"/>
      <c r="C225" s="2"/>
      <c r="D225" s="11"/>
      <c r="E225" s="11"/>
      <c r="F225" s="2"/>
      <c r="G225" s="2"/>
      <c r="H225" s="11"/>
    </row>
    <row r="226">
      <c r="A226" s="2"/>
      <c r="B226" s="11"/>
      <c r="C226" s="2"/>
      <c r="D226" s="11"/>
      <c r="E226" s="11"/>
      <c r="F226" s="2"/>
      <c r="G226" s="2"/>
      <c r="H226" s="11"/>
    </row>
    <row r="227">
      <c r="A227" s="2"/>
      <c r="B227" s="11"/>
      <c r="C227" s="2"/>
      <c r="D227" s="11"/>
      <c r="E227" s="11"/>
      <c r="F227" s="2"/>
      <c r="G227" s="2"/>
      <c r="H227" s="11"/>
    </row>
    <row r="228">
      <c r="A228" s="2"/>
      <c r="B228" s="11"/>
      <c r="C228" s="2"/>
      <c r="D228" s="11"/>
      <c r="E228" s="11"/>
      <c r="F228" s="2"/>
      <c r="G228" s="2"/>
      <c r="H228" s="11"/>
    </row>
    <row r="229">
      <c r="A229" s="2"/>
      <c r="B229" s="11"/>
      <c r="C229" s="2"/>
      <c r="D229" s="11"/>
      <c r="E229" s="11"/>
      <c r="F229" s="2"/>
      <c r="G229" s="2"/>
      <c r="H229" s="11"/>
    </row>
    <row r="230">
      <c r="A230" s="2"/>
      <c r="B230" s="11"/>
      <c r="C230" s="2"/>
      <c r="D230" s="11"/>
      <c r="E230" s="11"/>
      <c r="F230" s="2"/>
      <c r="G230" s="2"/>
      <c r="H230" s="11"/>
    </row>
    <row r="231">
      <c r="A231" s="2"/>
      <c r="B231" s="11"/>
      <c r="C231" s="2"/>
      <c r="D231" s="11"/>
      <c r="E231" s="11"/>
      <c r="F231" s="2"/>
      <c r="G231" s="2"/>
      <c r="H231" s="11"/>
    </row>
    <row r="232">
      <c r="A232" s="2"/>
      <c r="B232" s="11"/>
      <c r="C232" s="2"/>
      <c r="D232" s="11"/>
      <c r="E232" s="11"/>
      <c r="F232" s="2"/>
      <c r="G232" s="2"/>
      <c r="H232" s="11"/>
    </row>
    <row r="233">
      <c r="A233" s="2"/>
      <c r="B233" s="11"/>
      <c r="C233" s="2"/>
      <c r="D233" s="11"/>
      <c r="E233" s="11"/>
      <c r="F233" s="2"/>
      <c r="G233" s="2"/>
      <c r="H233" s="11"/>
    </row>
    <row r="234">
      <c r="A234" s="2"/>
      <c r="B234" s="11"/>
      <c r="C234" s="2"/>
      <c r="D234" s="11"/>
      <c r="E234" s="11"/>
      <c r="F234" s="2"/>
      <c r="G234" s="2"/>
      <c r="H234" s="11"/>
    </row>
    <row r="235">
      <c r="A235" s="2"/>
      <c r="B235" s="11"/>
      <c r="C235" s="2"/>
      <c r="D235" s="11"/>
      <c r="E235" s="11"/>
      <c r="F235" s="2"/>
      <c r="G235" s="2"/>
      <c r="H235" s="11"/>
    </row>
    <row r="236">
      <c r="A236" s="2"/>
      <c r="B236" s="11"/>
      <c r="C236" s="2"/>
      <c r="D236" s="11"/>
      <c r="E236" s="11"/>
      <c r="F236" s="2"/>
      <c r="G236" s="2"/>
      <c r="H236" s="11"/>
    </row>
    <row r="237">
      <c r="A237" s="2"/>
      <c r="B237" s="11"/>
      <c r="C237" s="2"/>
      <c r="D237" s="11"/>
      <c r="E237" s="11"/>
      <c r="F237" s="2"/>
      <c r="G237" s="2"/>
      <c r="H237" s="11"/>
    </row>
    <row r="238">
      <c r="A238" s="2"/>
      <c r="B238" s="11"/>
      <c r="C238" s="2"/>
      <c r="D238" s="11"/>
      <c r="E238" s="11"/>
      <c r="F238" s="2"/>
      <c r="G238" s="2"/>
      <c r="H238" s="11"/>
    </row>
    <row r="239">
      <c r="A239" s="2"/>
      <c r="B239" s="11"/>
      <c r="C239" s="2"/>
      <c r="D239" s="11"/>
      <c r="E239" s="11"/>
      <c r="F239" s="2"/>
      <c r="G239" s="2"/>
      <c r="H239" s="11"/>
    </row>
    <row r="240">
      <c r="A240" s="2"/>
      <c r="B240" s="11"/>
      <c r="C240" s="2"/>
      <c r="D240" s="11"/>
      <c r="E240" s="11"/>
      <c r="F240" s="2"/>
      <c r="G240" s="2"/>
      <c r="H240" s="11"/>
    </row>
    <row r="241">
      <c r="A241" s="2"/>
      <c r="B241" s="11"/>
      <c r="C241" s="2"/>
      <c r="D241" s="11"/>
      <c r="E241" s="11"/>
      <c r="F241" s="2"/>
      <c r="G241" s="2"/>
      <c r="H241" s="11"/>
    </row>
    <row r="242">
      <c r="A242" s="2"/>
      <c r="B242" s="11"/>
      <c r="C242" s="2"/>
      <c r="D242" s="11"/>
      <c r="E242" s="11"/>
      <c r="F242" s="2"/>
      <c r="G242" s="2"/>
      <c r="H242" s="11"/>
    </row>
    <row r="243">
      <c r="A243" s="2"/>
      <c r="B243" s="11"/>
      <c r="C243" s="2"/>
      <c r="D243" s="11"/>
      <c r="E243" s="11"/>
      <c r="F243" s="2"/>
      <c r="G243" s="2"/>
      <c r="H243" s="11"/>
    </row>
    <row r="244">
      <c r="A244" s="2"/>
      <c r="B244" s="11"/>
      <c r="C244" s="2"/>
      <c r="D244" s="11"/>
      <c r="E244" s="11"/>
      <c r="F244" s="2"/>
      <c r="G244" s="2"/>
      <c r="H244" s="11"/>
    </row>
    <row r="245">
      <c r="A245" s="2"/>
      <c r="B245" s="11"/>
      <c r="C245" s="2"/>
      <c r="D245" s="11"/>
      <c r="E245" s="11"/>
      <c r="F245" s="2"/>
      <c r="G245" s="2"/>
      <c r="H245" s="11"/>
    </row>
    <row r="246">
      <c r="A246" s="2"/>
      <c r="B246" s="11"/>
      <c r="C246" s="2"/>
      <c r="D246" s="11"/>
      <c r="E246" s="11"/>
      <c r="F246" s="2"/>
      <c r="G246" s="2"/>
      <c r="H246" s="11"/>
    </row>
    <row r="247">
      <c r="A247" s="2"/>
      <c r="B247" s="11"/>
      <c r="C247" s="2"/>
      <c r="D247" s="11"/>
      <c r="E247" s="11"/>
      <c r="F247" s="2"/>
      <c r="G247" s="2"/>
      <c r="H247" s="11"/>
    </row>
    <row r="248">
      <c r="A248" s="2"/>
      <c r="B248" s="11"/>
      <c r="C248" s="2"/>
      <c r="D248" s="11"/>
      <c r="E248" s="11"/>
      <c r="F248" s="2"/>
      <c r="G248" s="2"/>
      <c r="H248" s="11"/>
    </row>
    <row r="249">
      <c r="A249" s="2"/>
      <c r="B249" s="11"/>
      <c r="C249" s="2"/>
      <c r="D249" s="11"/>
      <c r="E249" s="11"/>
      <c r="F249" s="2"/>
      <c r="G249" s="2"/>
      <c r="H249" s="11"/>
    </row>
    <row r="250">
      <c r="A250" s="2"/>
      <c r="B250" s="11"/>
      <c r="C250" s="2"/>
      <c r="D250" s="11"/>
      <c r="E250" s="11"/>
      <c r="F250" s="2"/>
      <c r="G250" s="2"/>
      <c r="H250" s="11"/>
    </row>
    <row r="251">
      <c r="A251" s="2"/>
      <c r="B251" s="11"/>
      <c r="C251" s="2"/>
      <c r="D251" s="11"/>
      <c r="E251" s="11"/>
      <c r="F251" s="2"/>
      <c r="G251" s="2"/>
      <c r="H251" s="11"/>
    </row>
    <row r="252">
      <c r="A252" s="2"/>
      <c r="B252" s="11"/>
      <c r="C252" s="2"/>
      <c r="D252" s="11"/>
      <c r="E252" s="11"/>
      <c r="F252" s="2"/>
      <c r="G252" s="2"/>
      <c r="H252" s="11"/>
    </row>
    <row r="253">
      <c r="A253" s="2"/>
      <c r="B253" s="11"/>
      <c r="C253" s="2"/>
      <c r="D253" s="11"/>
      <c r="E253" s="11"/>
      <c r="F253" s="2"/>
      <c r="G253" s="2"/>
      <c r="H253" s="11"/>
    </row>
    <row r="254">
      <c r="A254" s="2"/>
      <c r="B254" s="11"/>
      <c r="C254" s="2"/>
      <c r="D254" s="11"/>
      <c r="E254" s="11"/>
      <c r="F254" s="2"/>
      <c r="G254" s="2"/>
      <c r="H254" s="11"/>
    </row>
    <row r="255">
      <c r="A255" s="2"/>
      <c r="B255" s="11"/>
      <c r="C255" s="2"/>
      <c r="D255" s="11"/>
      <c r="E255" s="11"/>
      <c r="F255" s="2"/>
      <c r="G255" s="2"/>
      <c r="H255" s="11"/>
    </row>
    <row r="256">
      <c r="A256" s="2"/>
      <c r="B256" s="11"/>
      <c r="C256" s="2"/>
      <c r="D256" s="11"/>
      <c r="E256" s="11"/>
      <c r="F256" s="2"/>
      <c r="G256" s="2"/>
      <c r="H256" s="11"/>
    </row>
    <row r="257">
      <c r="A257" s="2"/>
      <c r="B257" s="11"/>
      <c r="C257" s="2"/>
      <c r="D257" s="11"/>
      <c r="E257" s="11"/>
      <c r="F257" s="2"/>
      <c r="G257" s="2"/>
      <c r="H257" s="11"/>
    </row>
    <row r="258">
      <c r="A258" s="2"/>
      <c r="B258" s="11"/>
      <c r="C258" s="2"/>
      <c r="D258" s="11"/>
      <c r="E258" s="11"/>
      <c r="F258" s="2"/>
      <c r="G258" s="2"/>
      <c r="H258" s="11"/>
    </row>
    <row r="259">
      <c r="A259" s="2"/>
      <c r="B259" s="11"/>
      <c r="C259" s="2"/>
      <c r="D259" s="11"/>
      <c r="E259" s="11"/>
      <c r="F259" s="2"/>
      <c r="G259" s="2"/>
      <c r="H259" s="11"/>
    </row>
    <row r="260">
      <c r="A260" s="2"/>
      <c r="B260" s="11"/>
      <c r="C260" s="2"/>
      <c r="D260" s="11"/>
      <c r="E260" s="11"/>
      <c r="F260" s="2"/>
      <c r="G260" s="2"/>
      <c r="H260" s="11"/>
    </row>
    <row r="261">
      <c r="A261" s="2"/>
      <c r="B261" s="11"/>
      <c r="C261" s="2"/>
      <c r="D261" s="11"/>
      <c r="E261" s="11"/>
      <c r="F261" s="2"/>
      <c r="G261" s="2"/>
      <c r="H261" s="11"/>
    </row>
    <row r="262">
      <c r="A262" s="2"/>
      <c r="B262" s="11"/>
      <c r="C262" s="2"/>
      <c r="D262" s="11"/>
      <c r="E262" s="11"/>
      <c r="F262" s="2"/>
      <c r="G262" s="2"/>
      <c r="H262" s="11"/>
    </row>
    <row r="263">
      <c r="A263" s="2"/>
      <c r="B263" s="11"/>
      <c r="C263" s="2"/>
      <c r="D263" s="11"/>
      <c r="E263" s="11"/>
      <c r="F263" s="2"/>
      <c r="G263" s="2"/>
      <c r="H263" s="11"/>
    </row>
    <row r="264">
      <c r="A264" s="2"/>
      <c r="B264" s="11"/>
      <c r="C264" s="2"/>
      <c r="D264" s="11"/>
      <c r="E264" s="11"/>
      <c r="F264" s="2"/>
      <c r="G264" s="2"/>
      <c r="H264" s="11"/>
    </row>
    <row r="265">
      <c r="A265" s="2"/>
      <c r="B265" s="11"/>
      <c r="C265" s="2"/>
      <c r="D265" s="11"/>
      <c r="E265" s="11"/>
      <c r="F265" s="2"/>
      <c r="G265" s="2"/>
      <c r="H265" s="11"/>
    </row>
    <row r="266">
      <c r="A266" s="2"/>
      <c r="B266" s="11"/>
      <c r="C266" s="2"/>
      <c r="D266" s="11"/>
      <c r="E266" s="11"/>
      <c r="F266" s="2"/>
      <c r="G266" s="2"/>
      <c r="H266" s="11"/>
    </row>
    <row r="267">
      <c r="A267" s="2"/>
      <c r="B267" s="11"/>
      <c r="C267" s="2"/>
      <c r="D267" s="11"/>
      <c r="E267" s="11"/>
      <c r="F267" s="2"/>
      <c r="G267" s="2"/>
      <c r="H267" s="11"/>
    </row>
    <row r="268">
      <c r="A268" s="2"/>
      <c r="B268" s="11"/>
      <c r="C268" s="2"/>
      <c r="D268" s="11"/>
      <c r="E268" s="11"/>
      <c r="F268" s="2"/>
      <c r="G268" s="2"/>
      <c r="H268" s="11"/>
    </row>
    <row r="269">
      <c r="A269" s="2"/>
      <c r="B269" s="11"/>
      <c r="C269" s="2"/>
      <c r="D269" s="11"/>
      <c r="E269" s="11"/>
      <c r="F269" s="2"/>
      <c r="G269" s="2"/>
      <c r="H269" s="11"/>
    </row>
    <row r="270">
      <c r="A270" s="2"/>
      <c r="B270" s="11"/>
      <c r="C270" s="2"/>
      <c r="D270" s="11"/>
      <c r="E270" s="11"/>
      <c r="F270" s="2"/>
      <c r="G270" s="2"/>
      <c r="H270" s="11"/>
    </row>
    <row r="271">
      <c r="A271" s="2"/>
      <c r="B271" s="11"/>
      <c r="C271" s="2"/>
      <c r="D271" s="11"/>
      <c r="E271" s="11"/>
      <c r="F271" s="2"/>
      <c r="G271" s="2"/>
      <c r="H271" s="11"/>
    </row>
    <row r="272">
      <c r="A272" s="2"/>
      <c r="B272" s="11"/>
      <c r="C272" s="2"/>
      <c r="D272" s="11"/>
      <c r="E272" s="11"/>
      <c r="F272" s="2"/>
      <c r="G272" s="2"/>
      <c r="H272" s="11"/>
    </row>
    <row r="273">
      <c r="A273" s="2"/>
      <c r="B273" s="11"/>
      <c r="C273" s="2"/>
      <c r="D273" s="11"/>
      <c r="E273" s="11"/>
      <c r="F273" s="2"/>
      <c r="G273" s="2"/>
      <c r="H273" s="11"/>
    </row>
    <row r="274">
      <c r="A274" s="2"/>
      <c r="B274" s="11"/>
      <c r="C274" s="2"/>
      <c r="D274" s="11"/>
      <c r="E274" s="11"/>
      <c r="F274" s="2"/>
      <c r="G274" s="2"/>
      <c r="H274" s="11"/>
    </row>
    <row r="275">
      <c r="A275" s="2"/>
      <c r="B275" s="11"/>
      <c r="C275" s="2"/>
      <c r="D275" s="11"/>
      <c r="E275" s="11"/>
      <c r="F275" s="2"/>
      <c r="G275" s="2"/>
      <c r="H275" s="11"/>
    </row>
    <row r="276">
      <c r="A276" s="2"/>
      <c r="B276" s="11"/>
      <c r="C276" s="2"/>
      <c r="D276" s="11"/>
      <c r="E276" s="11"/>
      <c r="F276" s="2"/>
      <c r="G276" s="2"/>
      <c r="H276" s="11"/>
    </row>
    <row r="277">
      <c r="A277" s="2"/>
      <c r="B277" s="11"/>
      <c r="C277" s="2"/>
      <c r="D277" s="11"/>
      <c r="E277" s="11"/>
      <c r="F277" s="2"/>
      <c r="G277" s="2"/>
      <c r="H277" s="11"/>
    </row>
    <row r="278">
      <c r="A278" s="2"/>
      <c r="B278" s="11"/>
      <c r="C278" s="2"/>
      <c r="D278" s="11"/>
      <c r="E278" s="11"/>
      <c r="F278" s="2"/>
      <c r="G278" s="2"/>
      <c r="H278" s="11"/>
    </row>
    <row r="279">
      <c r="A279" s="2"/>
      <c r="B279" s="11"/>
      <c r="C279" s="2"/>
      <c r="D279" s="11"/>
      <c r="E279" s="11"/>
      <c r="F279" s="2"/>
      <c r="G279" s="2"/>
      <c r="H279" s="11"/>
    </row>
    <row r="280">
      <c r="A280" s="2"/>
      <c r="B280" s="11"/>
      <c r="C280" s="2"/>
      <c r="D280" s="11"/>
      <c r="E280" s="11"/>
      <c r="F280" s="2"/>
      <c r="G280" s="2"/>
      <c r="H280" s="11"/>
    </row>
    <row r="281">
      <c r="A281" s="2"/>
      <c r="B281" s="11"/>
      <c r="C281" s="2"/>
      <c r="D281" s="11"/>
      <c r="E281" s="11"/>
      <c r="F281" s="2"/>
      <c r="G281" s="2"/>
      <c r="H281" s="11"/>
    </row>
    <row r="282">
      <c r="A282" s="2"/>
      <c r="B282" s="11"/>
      <c r="C282" s="2"/>
      <c r="D282" s="11"/>
      <c r="E282" s="11"/>
      <c r="F282" s="2"/>
      <c r="G282" s="2"/>
      <c r="H282" s="11"/>
    </row>
    <row r="283">
      <c r="A283" s="2"/>
      <c r="B283" s="11"/>
      <c r="C283" s="2"/>
      <c r="D283" s="11"/>
      <c r="E283" s="11"/>
      <c r="F283" s="2"/>
      <c r="G283" s="2"/>
      <c r="H283" s="11"/>
    </row>
    <row r="284">
      <c r="A284" s="2"/>
      <c r="B284" s="11"/>
      <c r="C284" s="2"/>
      <c r="D284" s="11"/>
      <c r="E284" s="11"/>
      <c r="F284" s="2"/>
      <c r="G284" s="2"/>
      <c r="H284" s="11"/>
    </row>
    <row r="285">
      <c r="A285" s="2"/>
      <c r="B285" s="11"/>
      <c r="C285" s="2"/>
      <c r="D285" s="11"/>
      <c r="E285" s="11"/>
      <c r="F285" s="2"/>
      <c r="G285" s="2"/>
      <c r="H285" s="11"/>
    </row>
    <row r="286">
      <c r="A286" s="2"/>
      <c r="B286" s="11"/>
      <c r="C286" s="2"/>
      <c r="D286" s="11"/>
      <c r="E286" s="11"/>
      <c r="F286" s="2"/>
      <c r="G286" s="2"/>
      <c r="H286" s="11"/>
    </row>
    <row r="287">
      <c r="A287" s="2"/>
      <c r="B287" s="11"/>
      <c r="C287" s="2"/>
      <c r="D287" s="11"/>
      <c r="E287" s="11"/>
      <c r="F287" s="2"/>
      <c r="G287" s="2"/>
      <c r="H287" s="11"/>
    </row>
    <row r="288">
      <c r="A288" s="2"/>
      <c r="B288" s="11"/>
      <c r="C288" s="2"/>
      <c r="D288" s="11"/>
      <c r="E288" s="11"/>
      <c r="F288" s="2"/>
      <c r="G288" s="2"/>
      <c r="H288" s="11"/>
    </row>
    <row r="289">
      <c r="A289" s="2"/>
      <c r="B289" s="11"/>
      <c r="C289" s="2"/>
      <c r="D289" s="11"/>
      <c r="E289" s="11"/>
      <c r="F289" s="2"/>
      <c r="G289" s="2"/>
      <c r="H289" s="11"/>
    </row>
    <row r="290">
      <c r="A290" s="2"/>
      <c r="B290" s="11"/>
      <c r="C290" s="2"/>
      <c r="D290" s="11"/>
      <c r="E290" s="11"/>
      <c r="F290" s="2"/>
      <c r="G290" s="2"/>
      <c r="H290" s="11"/>
    </row>
    <row r="291">
      <c r="A291" s="2"/>
      <c r="B291" s="11"/>
      <c r="C291" s="2"/>
      <c r="D291" s="11"/>
      <c r="E291" s="11"/>
      <c r="F291" s="2"/>
      <c r="G291" s="2"/>
      <c r="H291" s="11"/>
    </row>
    <row r="292">
      <c r="A292" s="2"/>
      <c r="B292" s="11"/>
      <c r="C292" s="2"/>
      <c r="D292" s="11"/>
      <c r="E292" s="11"/>
      <c r="F292" s="2"/>
      <c r="G292" s="2"/>
      <c r="H292" s="11"/>
    </row>
    <row r="293">
      <c r="A293" s="2"/>
      <c r="B293" s="11"/>
      <c r="C293" s="2"/>
      <c r="D293" s="11"/>
      <c r="E293" s="11"/>
      <c r="F293" s="2"/>
      <c r="G293" s="2"/>
      <c r="H293" s="11"/>
    </row>
    <row r="294">
      <c r="A294" s="2"/>
      <c r="B294" s="11"/>
      <c r="C294" s="2"/>
      <c r="D294" s="11"/>
      <c r="E294" s="11"/>
      <c r="F294" s="2"/>
      <c r="G294" s="2"/>
      <c r="H294" s="11"/>
    </row>
    <row r="295">
      <c r="A295" s="2"/>
      <c r="B295" s="11"/>
      <c r="C295" s="2"/>
      <c r="D295" s="11"/>
      <c r="E295" s="11"/>
      <c r="F295" s="2"/>
      <c r="G295" s="2"/>
      <c r="H295" s="11"/>
    </row>
    <row r="296">
      <c r="A296" s="2"/>
      <c r="B296" s="11"/>
      <c r="C296" s="2"/>
      <c r="D296" s="11"/>
      <c r="E296" s="11"/>
      <c r="F296" s="2"/>
      <c r="G296" s="2"/>
      <c r="H296" s="11"/>
    </row>
    <row r="297">
      <c r="A297" s="2"/>
      <c r="B297" s="11"/>
      <c r="C297" s="2"/>
      <c r="D297" s="11"/>
      <c r="E297" s="11"/>
      <c r="F297" s="2"/>
      <c r="G297" s="2"/>
      <c r="H297" s="11"/>
    </row>
    <row r="298">
      <c r="A298" s="2"/>
      <c r="B298" s="11"/>
      <c r="C298" s="2"/>
      <c r="D298" s="11"/>
      <c r="E298" s="11"/>
      <c r="F298" s="2"/>
      <c r="G298" s="2"/>
      <c r="H298" s="11"/>
    </row>
    <row r="299">
      <c r="A299" s="2"/>
      <c r="B299" s="11"/>
      <c r="C299" s="2"/>
      <c r="D299" s="11"/>
      <c r="E299" s="11"/>
      <c r="F299" s="2"/>
      <c r="G299" s="2"/>
      <c r="H299" s="11"/>
    </row>
    <row r="300">
      <c r="A300" s="2"/>
      <c r="B300" s="11"/>
      <c r="C300" s="2"/>
      <c r="D300" s="11"/>
      <c r="E300" s="11"/>
      <c r="F300" s="2"/>
      <c r="G300" s="2"/>
      <c r="H300" s="11"/>
    </row>
    <row r="301">
      <c r="A301" s="2"/>
      <c r="B301" s="11"/>
      <c r="C301" s="2"/>
      <c r="D301" s="11"/>
      <c r="E301" s="11"/>
      <c r="F301" s="2"/>
      <c r="G301" s="2"/>
      <c r="H301" s="11"/>
    </row>
    <row r="302">
      <c r="A302" s="2"/>
      <c r="B302" s="11"/>
      <c r="C302" s="2"/>
      <c r="D302" s="11"/>
      <c r="E302" s="11"/>
      <c r="F302" s="2"/>
      <c r="G302" s="2"/>
      <c r="H302" s="11"/>
    </row>
    <row r="303">
      <c r="A303" s="2"/>
      <c r="B303" s="11"/>
      <c r="C303" s="2"/>
      <c r="D303" s="11"/>
      <c r="E303" s="11"/>
      <c r="F303" s="2"/>
      <c r="G303" s="2"/>
      <c r="H303" s="11"/>
    </row>
    <row r="304">
      <c r="A304" s="2"/>
      <c r="B304" s="11"/>
      <c r="C304" s="2"/>
      <c r="D304" s="11"/>
      <c r="E304" s="11"/>
      <c r="F304" s="2"/>
      <c r="G304" s="2"/>
      <c r="H304" s="11"/>
    </row>
    <row r="305">
      <c r="A305" s="2"/>
      <c r="B305" s="11"/>
      <c r="C305" s="2"/>
      <c r="D305" s="11"/>
      <c r="E305" s="11"/>
      <c r="F305" s="2"/>
      <c r="G305" s="2"/>
      <c r="H305" s="11"/>
    </row>
    <row r="306">
      <c r="A306" s="2"/>
      <c r="B306" s="11"/>
      <c r="C306" s="2"/>
      <c r="D306" s="11"/>
      <c r="E306" s="11"/>
      <c r="F306" s="2"/>
      <c r="G306" s="2"/>
      <c r="H306" s="11"/>
    </row>
    <row r="307">
      <c r="A307" s="2"/>
      <c r="B307" s="11"/>
      <c r="C307" s="2"/>
      <c r="D307" s="11"/>
      <c r="E307" s="11"/>
      <c r="F307" s="2"/>
      <c r="G307" s="2"/>
      <c r="H307" s="11"/>
    </row>
    <row r="308">
      <c r="A308" s="2"/>
      <c r="B308" s="11"/>
      <c r="C308" s="2"/>
      <c r="D308" s="11"/>
      <c r="E308" s="11"/>
      <c r="F308" s="2"/>
      <c r="G308" s="2"/>
      <c r="H308" s="11"/>
    </row>
    <row r="309">
      <c r="A309" s="2"/>
      <c r="B309" s="11"/>
      <c r="C309" s="2"/>
      <c r="D309" s="11"/>
      <c r="E309" s="11"/>
      <c r="F309" s="2"/>
      <c r="G309" s="2"/>
      <c r="H309" s="11"/>
    </row>
    <row r="310">
      <c r="A310" s="2"/>
      <c r="B310" s="11"/>
      <c r="C310" s="2"/>
      <c r="D310" s="11"/>
      <c r="E310" s="11"/>
      <c r="F310" s="2"/>
      <c r="G310" s="2"/>
      <c r="H310" s="11"/>
    </row>
    <row r="311">
      <c r="A311" s="2"/>
      <c r="B311" s="11"/>
      <c r="C311" s="2"/>
      <c r="D311" s="11"/>
      <c r="E311" s="11"/>
      <c r="F311" s="2"/>
      <c r="G311" s="2"/>
      <c r="H311" s="11"/>
    </row>
    <row r="312">
      <c r="A312" s="2"/>
      <c r="B312" s="11"/>
      <c r="C312" s="2"/>
      <c r="D312" s="11"/>
      <c r="E312" s="11"/>
      <c r="F312" s="2"/>
      <c r="G312" s="2"/>
      <c r="H312" s="11"/>
    </row>
    <row r="313">
      <c r="A313" s="2"/>
      <c r="B313" s="11"/>
      <c r="C313" s="2"/>
      <c r="D313" s="11"/>
      <c r="E313" s="11"/>
      <c r="F313" s="2"/>
      <c r="G313" s="2"/>
      <c r="H313" s="11"/>
    </row>
    <row r="314">
      <c r="A314" s="2"/>
      <c r="B314" s="11"/>
      <c r="C314" s="2"/>
      <c r="D314" s="11"/>
      <c r="E314" s="11"/>
      <c r="F314" s="2"/>
      <c r="G314" s="2"/>
      <c r="H314" s="11"/>
    </row>
    <row r="315">
      <c r="A315" s="2"/>
      <c r="B315" s="11"/>
      <c r="C315" s="2"/>
      <c r="D315" s="11"/>
      <c r="E315" s="11"/>
      <c r="F315" s="2"/>
      <c r="G315" s="2"/>
      <c r="H315" s="11"/>
    </row>
    <row r="316">
      <c r="A316" s="2"/>
      <c r="B316" s="11"/>
      <c r="C316" s="2"/>
      <c r="D316" s="11"/>
      <c r="E316" s="11"/>
      <c r="F316" s="2"/>
      <c r="G316" s="2"/>
      <c r="H316" s="11"/>
    </row>
    <row r="317">
      <c r="A317" s="2"/>
      <c r="B317" s="11"/>
      <c r="C317" s="2"/>
      <c r="D317" s="11"/>
      <c r="E317" s="11"/>
      <c r="F317" s="2"/>
      <c r="G317" s="2"/>
      <c r="H317" s="11"/>
    </row>
    <row r="318">
      <c r="A318" s="2"/>
      <c r="B318" s="11"/>
      <c r="C318" s="2"/>
      <c r="D318" s="11"/>
      <c r="E318" s="11"/>
      <c r="F318" s="2"/>
      <c r="G318" s="2"/>
      <c r="H318" s="11"/>
    </row>
    <row r="319">
      <c r="A319" s="2"/>
      <c r="B319" s="11"/>
      <c r="C319" s="2"/>
      <c r="D319" s="11"/>
      <c r="E319" s="11"/>
      <c r="F319" s="2"/>
      <c r="G319" s="2"/>
      <c r="H319" s="11"/>
    </row>
    <row r="320">
      <c r="A320" s="2"/>
      <c r="B320" s="11"/>
      <c r="C320" s="2"/>
      <c r="D320" s="11"/>
      <c r="E320" s="11"/>
      <c r="F320" s="2"/>
      <c r="G320" s="2"/>
      <c r="H320" s="11"/>
    </row>
    <row r="321">
      <c r="A321" s="2"/>
      <c r="B321" s="11"/>
      <c r="C321" s="2"/>
      <c r="D321" s="11"/>
      <c r="E321" s="11"/>
      <c r="F321" s="2"/>
      <c r="G321" s="2"/>
      <c r="H321" s="11"/>
    </row>
    <row r="322">
      <c r="A322" s="2"/>
      <c r="B322" s="11"/>
      <c r="C322" s="2"/>
      <c r="D322" s="11"/>
      <c r="E322" s="11"/>
      <c r="F322" s="2"/>
      <c r="G322" s="2"/>
      <c r="H322" s="11"/>
    </row>
    <row r="323">
      <c r="A323" s="2"/>
      <c r="B323" s="11"/>
      <c r="C323" s="2"/>
      <c r="D323" s="11"/>
      <c r="E323" s="11"/>
      <c r="F323" s="2"/>
      <c r="G323" s="2"/>
      <c r="H323" s="11"/>
    </row>
    <row r="324">
      <c r="A324" s="2"/>
      <c r="B324" s="11"/>
      <c r="C324" s="2"/>
      <c r="D324" s="11"/>
      <c r="E324" s="11"/>
      <c r="F324" s="2"/>
      <c r="G324" s="2"/>
      <c r="H324" s="11"/>
    </row>
    <row r="325">
      <c r="A325" s="2"/>
      <c r="B325" s="11"/>
      <c r="C325" s="2"/>
      <c r="D325" s="11"/>
      <c r="E325" s="11"/>
      <c r="F325" s="2"/>
      <c r="G325" s="2"/>
      <c r="H325" s="11"/>
    </row>
    <row r="326">
      <c r="A326" s="2"/>
      <c r="B326" s="11"/>
      <c r="C326" s="2"/>
      <c r="D326" s="11"/>
      <c r="E326" s="11"/>
      <c r="F326" s="2"/>
      <c r="G326" s="2"/>
      <c r="H326" s="11"/>
    </row>
    <row r="327">
      <c r="A327" s="2"/>
      <c r="B327" s="11"/>
      <c r="C327" s="2"/>
      <c r="D327" s="11"/>
      <c r="E327" s="11"/>
      <c r="F327" s="2"/>
      <c r="G327" s="2"/>
      <c r="H327" s="11"/>
    </row>
    <row r="328">
      <c r="A328" s="2"/>
      <c r="B328" s="11"/>
      <c r="C328" s="2"/>
      <c r="D328" s="11"/>
      <c r="E328" s="11"/>
      <c r="F328" s="2"/>
      <c r="G328" s="2"/>
      <c r="H328" s="11"/>
    </row>
    <row r="329">
      <c r="A329" s="2"/>
      <c r="B329" s="11"/>
      <c r="C329" s="2"/>
      <c r="D329" s="11"/>
      <c r="E329" s="11"/>
      <c r="F329" s="2"/>
      <c r="G329" s="2"/>
      <c r="H329" s="11"/>
    </row>
    <row r="330">
      <c r="A330" s="2"/>
      <c r="B330" s="11"/>
      <c r="C330" s="2"/>
      <c r="D330" s="11"/>
      <c r="E330" s="11"/>
      <c r="F330" s="2"/>
      <c r="G330" s="2"/>
      <c r="H330" s="11"/>
    </row>
    <row r="331">
      <c r="A331" s="2"/>
      <c r="B331" s="11"/>
      <c r="C331" s="2"/>
      <c r="D331" s="11"/>
      <c r="E331" s="11"/>
      <c r="F331" s="2"/>
      <c r="G331" s="2"/>
      <c r="H331" s="11"/>
    </row>
    <row r="332">
      <c r="A332" s="2"/>
      <c r="B332" s="11"/>
      <c r="C332" s="2"/>
      <c r="D332" s="11"/>
      <c r="E332" s="11"/>
      <c r="F332" s="2"/>
      <c r="G332" s="2"/>
      <c r="H332" s="11"/>
    </row>
    <row r="333">
      <c r="A333" s="2"/>
      <c r="B333" s="11"/>
      <c r="C333" s="2"/>
      <c r="D333" s="11"/>
      <c r="E333" s="11"/>
      <c r="F333" s="2"/>
      <c r="G333" s="2"/>
      <c r="H333" s="11"/>
    </row>
    <row r="334">
      <c r="A334" s="2"/>
      <c r="B334" s="11"/>
      <c r="C334" s="2"/>
      <c r="D334" s="11"/>
      <c r="E334" s="11"/>
      <c r="F334" s="2"/>
      <c r="G334" s="2"/>
      <c r="H334" s="11"/>
    </row>
    <row r="335">
      <c r="A335" s="2"/>
      <c r="B335" s="11"/>
      <c r="C335" s="2"/>
      <c r="D335" s="11"/>
      <c r="E335" s="11"/>
      <c r="F335" s="2"/>
      <c r="G335" s="2"/>
      <c r="H335" s="11"/>
    </row>
    <row r="336">
      <c r="A336" s="2"/>
      <c r="B336" s="11"/>
      <c r="C336" s="2"/>
      <c r="D336" s="11"/>
      <c r="E336" s="11"/>
      <c r="F336" s="2"/>
      <c r="G336" s="2"/>
      <c r="H336" s="11"/>
    </row>
    <row r="337">
      <c r="A337" s="2"/>
      <c r="B337" s="11"/>
      <c r="C337" s="2"/>
      <c r="D337" s="11"/>
      <c r="E337" s="11"/>
      <c r="F337" s="2"/>
      <c r="G337" s="2"/>
      <c r="H337" s="11"/>
    </row>
    <row r="338">
      <c r="A338" s="2"/>
      <c r="B338" s="11"/>
      <c r="C338" s="2"/>
      <c r="D338" s="11"/>
      <c r="E338" s="11"/>
      <c r="F338" s="2"/>
      <c r="G338" s="2"/>
      <c r="H338" s="11"/>
    </row>
    <row r="339">
      <c r="A339" s="2"/>
      <c r="B339" s="11"/>
      <c r="C339" s="2"/>
      <c r="D339" s="11"/>
      <c r="E339" s="11"/>
      <c r="F339" s="2"/>
      <c r="G339" s="2"/>
      <c r="H339" s="11"/>
    </row>
    <row r="340">
      <c r="A340" s="2"/>
      <c r="B340" s="11"/>
      <c r="C340" s="2"/>
      <c r="D340" s="11"/>
      <c r="E340" s="11"/>
      <c r="F340" s="2"/>
      <c r="G340" s="2"/>
      <c r="H340" s="11"/>
    </row>
    <row r="341">
      <c r="A341" s="2"/>
      <c r="B341" s="11"/>
      <c r="C341" s="2"/>
      <c r="D341" s="11"/>
      <c r="E341" s="11"/>
      <c r="F341" s="2"/>
      <c r="G341" s="2"/>
      <c r="H341" s="11"/>
    </row>
    <row r="342">
      <c r="A342" s="2"/>
      <c r="B342" s="11"/>
      <c r="C342" s="2"/>
      <c r="D342" s="11"/>
      <c r="E342" s="11"/>
      <c r="F342" s="2"/>
      <c r="G342" s="2"/>
      <c r="H342" s="11"/>
    </row>
    <row r="343">
      <c r="A343" s="2"/>
      <c r="B343" s="11"/>
      <c r="C343" s="2"/>
      <c r="D343" s="11"/>
      <c r="E343" s="11"/>
      <c r="F343" s="2"/>
      <c r="G343" s="2"/>
      <c r="H343" s="11"/>
    </row>
    <row r="344">
      <c r="A344" s="2"/>
      <c r="B344" s="11"/>
      <c r="C344" s="2"/>
      <c r="D344" s="11"/>
      <c r="E344" s="11"/>
      <c r="F344" s="2"/>
      <c r="G344" s="2"/>
      <c r="H344" s="11"/>
    </row>
    <row r="345">
      <c r="A345" s="2"/>
      <c r="B345" s="11"/>
      <c r="C345" s="2"/>
      <c r="D345" s="11"/>
      <c r="E345" s="11"/>
      <c r="F345" s="2"/>
      <c r="G345" s="2"/>
      <c r="H345" s="11"/>
    </row>
    <row r="346">
      <c r="A346" s="2"/>
      <c r="B346" s="11"/>
      <c r="C346" s="2"/>
      <c r="D346" s="11"/>
      <c r="E346" s="11"/>
      <c r="F346" s="2"/>
      <c r="G346" s="2"/>
      <c r="H346" s="11"/>
    </row>
    <row r="347">
      <c r="A347" s="2"/>
      <c r="B347" s="11"/>
      <c r="C347" s="2"/>
      <c r="D347" s="11"/>
      <c r="E347" s="11"/>
      <c r="F347" s="2"/>
      <c r="G347" s="2"/>
      <c r="H347" s="11"/>
    </row>
    <row r="348">
      <c r="A348" s="2"/>
      <c r="B348" s="11"/>
      <c r="C348" s="2"/>
      <c r="D348" s="11"/>
      <c r="E348" s="11"/>
      <c r="F348" s="2"/>
      <c r="G348" s="2"/>
      <c r="H348" s="11"/>
    </row>
    <row r="349">
      <c r="A349" s="2"/>
      <c r="B349" s="11"/>
      <c r="C349" s="2"/>
      <c r="D349" s="11"/>
      <c r="E349" s="11"/>
      <c r="F349" s="2"/>
      <c r="G349" s="2"/>
      <c r="H349" s="11"/>
    </row>
    <row r="350">
      <c r="A350" s="2"/>
      <c r="B350" s="11"/>
      <c r="C350" s="2"/>
      <c r="D350" s="11"/>
      <c r="E350" s="11"/>
      <c r="F350" s="2"/>
      <c r="G350" s="2"/>
      <c r="H350" s="11"/>
    </row>
    <row r="351">
      <c r="A351" s="2"/>
      <c r="B351" s="11"/>
      <c r="C351" s="2"/>
      <c r="D351" s="11"/>
      <c r="E351" s="11"/>
      <c r="F351" s="2"/>
      <c r="G351" s="2"/>
      <c r="H351" s="11"/>
    </row>
    <row r="352">
      <c r="A352" s="2"/>
      <c r="B352" s="11"/>
      <c r="C352" s="2"/>
      <c r="D352" s="11"/>
      <c r="E352" s="11"/>
      <c r="F352" s="2"/>
      <c r="G352" s="2"/>
      <c r="H352" s="11"/>
    </row>
    <row r="353">
      <c r="A353" s="2"/>
      <c r="B353" s="11"/>
      <c r="C353" s="2"/>
      <c r="D353" s="11"/>
      <c r="E353" s="11"/>
      <c r="F353" s="2"/>
      <c r="G353" s="2"/>
      <c r="H353" s="11"/>
    </row>
    <row r="354">
      <c r="A354" s="2"/>
      <c r="B354" s="11"/>
      <c r="C354" s="2"/>
      <c r="D354" s="11"/>
      <c r="E354" s="11"/>
      <c r="F354" s="2"/>
      <c r="G354" s="2"/>
      <c r="H354" s="11"/>
    </row>
    <row r="355">
      <c r="A355" s="2"/>
      <c r="B355" s="11"/>
      <c r="C355" s="2"/>
      <c r="D355" s="11"/>
      <c r="E355" s="11"/>
      <c r="F355" s="2"/>
      <c r="G355" s="2"/>
      <c r="H355" s="11"/>
    </row>
    <row r="356">
      <c r="A356" s="2"/>
      <c r="B356" s="11"/>
      <c r="C356" s="2"/>
      <c r="D356" s="11"/>
      <c r="E356" s="11"/>
      <c r="F356" s="2"/>
      <c r="G356" s="2"/>
      <c r="H356" s="11"/>
    </row>
    <row r="357">
      <c r="A357" s="2"/>
      <c r="B357" s="11"/>
      <c r="C357" s="2"/>
      <c r="D357" s="11"/>
      <c r="E357" s="11"/>
      <c r="F357" s="2"/>
      <c r="G357" s="2"/>
      <c r="H357" s="11"/>
    </row>
    <row r="358">
      <c r="A358" s="2"/>
      <c r="B358" s="11"/>
      <c r="C358" s="2"/>
      <c r="D358" s="11"/>
      <c r="E358" s="11"/>
      <c r="F358" s="2"/>
      <c r="G358" s="2"/>
      <c r="H358" s="11"/>
    </row>
    <row r="359">
      <c r="A359" s="2"/>
      <c r="B359" s="11"/>
      <c r="C359" s="2"/>
      <c r="D359" s="11"/>
      <c r="E359" s="11"/>
      <c r="F359" s="2"/>
      <c r="G359" s="2"/>
      <c r="H359" s="11"/>
    </row>
    <row r="360">
      <c r="A360" s="2"/>
      <c r="B360" s="11"/>
      <c r="C360" s="2"/>
      <c r="D360" s="11"/>
      <c r="E360" s="11"/>
      <c r="F360" s="2"/>
      <c r="G360" s="2"/>
      <c r="H360" s="11"/>
    </row>
    <row r="361">
      <c r="A361" s="2"/>
      <c r="B361" s="11"/>
      <c r="C361" s="2"/>
      <c r="D361" s="11"/>
      <c r="E361" s="11"/>
      <c r="F361" s="2"/>
      <c r="G361" s="2"/>
      <c r="H361" s="11"/>
    </row>
    <row r="362">
      <c r="A362" s="2"/>
      <c r="B362" s="11"/>
      <c r="C362" s="2"/>
      <c r="D362" s="11"/>
      <c r="E362" s="11"/>
      <c r="F362" s="2"/>
      <c r="G362" s="2"/>
      <c r="H362" s="11"/>
    </row>
  </sheetData>
  <autoFilter ref="A1:H362"/>
  <pageMargins left="0.5" right="0.5" top="0.5" bottom="0.5" header="0.3" footer="0.3"/>
</worksheet>
</file>

<file path=xl/worksheets/sheet6.xml><?xml version="1.0" encoding="utf-8"?>
<worksheet xmlns="http://schemas.openxmlformats.org/spreadsheetml/2006/main">
  <dimension ref="A1:H201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26" customWidth="1"/>
  </cols>
  <sheetData>
    <row r="1" ht="30" customHeight="1">
      <c r="A1" s="1" t="inlineStr">
        <is>
          <t xml:space="preserve">Concept</t>
        </is>
      </c>
      <c r="B1" s="1" t="inlineStr">
        <is>
          <t xml:space="preserve">Learned on</t>
        </is>
      </c>
      <c r="C1" s="1" t="inlineStr">
        <is>
          <t xml:space="preserve">Day 1</t>
        </is>
      </c>
      <c r="D1" s="1" t="inlineStr">
        <is>
          <t xml:space="preserve">Day 3</t>
        </is>
      </c>
      <c r="E1" s="1" t="inlineStr">
        <is>
          <t xml:space="preserve">Day 7</t>
        </is>
      </c>
      <c r="F1" s="1" t="inlineStr">
        <is>
          <t xml:space="preserve">Day 14</t>
        </is>
      </c>
      <c r="G1" s="1" t="inlineStr">
        <is>
          <t xml:space="preserve">Day 30</t>
        </is>
      </c>
      <c r="H1" s="1" t="inlineStr">
        <is>
          <t xml:space="preserve">Pass / fail (fail = back to Day 1)</t>
        </is>
      </c>
    </row>
    <row r="2">
      <c r="A2" s="2"/>
      <c r="B2" s="9"/>
      <c r="C2" s="3">
        <f>IF($B2="","",$B2+1)</f>
      </c>
      <c r="D2" s="3">
        <f>IF($B2="","",$B2+3)</f>
      </c>
      <c r="E2" s="3">
        <f>IF($B2="","",$B2+7)</f>
      </c>
      <c r="F2" s="3">
        <f>IF($B2="","",$B2+14)</f>
      </c>
      <c r="G2" s="3">
        <f>IF($B2="","",$B2+30)</f>
      </c>
      <c r="H2" s="2"/>
    </row>
    <row r="3">
      <c r="A3" s="5"/>
      <c r="B3" s="12"/>
      <c r="C3" s="12">
        <f>IF($B3="","",$B3+1)</f>
      </c>
      <c r="D3" s="12">
        <f>IF($B3="","",$B3+3)</f>
      </c>
      <c r="E3" s="12">
        <f>IF($B3="","",$B3+7)</f>
      </c>
      <c r="F3" s="12">
        <f>IF($B3="","",$B3+14)</f>
      </c>
      <c r="G3" s="12">
        <f>IF($B3="","",$B3+30)</f>
      </c>
      <c r="H3" s="5"/>
    </row>
    <row r="4">
      <c r="A4" s="2"/>
      <c r="B4" s="3"/>
      <c r="C4" s="3">
        <f>IF($B4="","",$B4+1)</f>
      </c>
      <c r="D4" s="3">
        <f>IF($B4="","",$B4+3)</f>
      </c>
      <c r="E4" s="3">
        <f>IF($B4="","",$B4+7)</f>
      </c>
      <c r="F4" s="3">
        <f>IF($B4="","",$B4+14)</f>
      </c>
      <c r="G4" s="3">
        <f>IF($B4="","",$B4+30)</f>
      </c>
      <c r="H4" s="2"/>
    </row>
    <row r="5">
      <c r="A5" s="5"/>
      <c r="B5" s="12"/>
      <c r="C5" s="12">
        <f>IF($B5="","",$B5+1)</f>
      </c>
      <c r="D5" s="12">
        <f>IF($B5="","",$B5+3)</f>
      </c>
      <c r="E5" s="12">
        <f>IF($B5="","",$B5+7)</f>
      </c>
      <c r="F5" s="12">
        <f>IF($B5="","",$B5+14)</f>
      </c>
      <c r="G5" s="12">
        <f>IF($B5="","",$B5+30)</f>
      </c>
      <c r="H5" s="5"/>
    </row>
    <row r="6">
      <c r="A6" s="2"/>
      <c r="B6" s="3"/>
      <c r="C6" s="3">
        <f>IF($B6="","",$B6+1)</f>
      </c>
      <c r="D6" s="3">
        <f>IF($B6="","",$B6+3)</f>
      </c>
      <c r="E6" s="3">
        <f>IF($B6="","",$B6+7)</f>
      </c>
      <c r="F6" s="3">
        <f>IF($B6="","",$B6+14)</f>
      </c>
      <c r="G6" s="3">
        <f>IF($B6="","",$B6+30)</f>
      </c>
      <c r="H6" s="2"/>
    </row>
    <row r="7">
      <c r="A7" s="5"/>
      <c r="B7" s="12"/>
      <c r="C7" s="12">
        <f>IF($B7="","",$B7+1)</f>
      </c>
      <c r="D7" s="12">
        <f>IF($B7="","",$B7+3)</f>
      </c>
      <c r="E7" s="12">
        <f>IF($B7="","",$B7+7)</f>
      </c>
      <c r="F7" s="12">
        <f>IF($B7="","",$B7+14)</f>
      </c>
      <c r="G7" s="12">
        <f>IF($B7="","",$B7+30)</f>
      </c>
      <c r="H7" s="5"/>
    </row>
    <row r="8">
      <c r="A8" s="2"/>
      <c r="B8" s="3"/>
      <c r="C8" s="3">
        <f>IF($B8="","",$B8+1)</f>
      </c>
      <c r="D8" s="3">
        <f>IF($B8="","",$B8+3)</f>
      </c>
      <c r="E8" s="3">
        <f>IF($B8="","",$B8+7)</f>
      </c>
      <c r="F8" s="3">
        <f>IF($B8="","",$B8+14)</f>
      </c>
      <c r="G8" s="3">
        <f>IF($B8="","",$B8+30)</f>
      </c>
      <c r="H8" s="2"/>
    </row>
    <row r="9">
      <c r="A9" s="5"/>
      <c r="B9" s="12"/>
      <c r="C9" s="12">
        <f>IF($B9="","",$B9+1)</f>
      </c>
      <c r="D9" s="12">
        <f>IF($B9="","",$B9+3)</f>
      </c>
      <c r="E9" s="12">
        <f>IF($B9="","",$B9+7)</f>
      </c>
      <c r="F9" s="12">
        <f>IF($B9="","",$B9+14)</f>
      </c>
      <c r="G9" s="12">
        <f>IF($B9="","",$B9+30)</f>
      </c>
      <c r="H9" s="5"/>
    </row>
    <row r="10">
      <c r="A10" s="2"/>
      <c r="B10" s="3"/>
      <c r="C10" s="3">
        <f>IF($B10="","",$B10+1)</f>
      </c>
      <c r="D10" s="3">
        <f>IF($B10="","",$B10+3)</f>
      </c>
      <c r="E10" s="3">
        <f>IF($B10="","",$B10+7)</f>
      </c>
      <c r="F10" s="3">
        <f>IF($B10="","",$B10+14)</f>
      </c>
      <c r="G10" s="3">
        <f>IF($B10="","",$B10+30)</f>
      </c>
      <c r="H10" s="2"/>
    </row>
    <row r="11">
      <c r="A11" s="5"/>
      <c r="B11" s="12"/>
      <c r="C11" s="12">
        <f>IF($B11="","",$B11+1)</f>
      </c>
      <c r="D11" s="12">
        <f>IF($B11="","",$B11+3)</f>
      </c>
      <c r="E11" s="12">
        <f>IF($B11="","",$B11+7)</f>
      </c>
      <c r="F11" s="12">
        <f>IF($B11="","",$B11+14)</f>
      </c>
      <c r="G11" s="12">
        <f>IF($B11="","",$B11+30)</f>
      </c>
      <c r="H11" s="5"/>
    </row>
    <row r="12">
      <c r="A12" s="2"/>
      <c r="B12" s="3"/>
      <c r="C12" s="3">
        <f>IF($B12="","",$B12+1)</f>
      </c>
      <c r="D12" s="3">
        <f>IF($B12="","",$B12+3)</f>
      </c>
      <c r="E12" s="3">
        <f>IF($B12="","",$B12+7)</f>
      </c>
      <c r="F12" s="3">
        <f>IF($B12="","",$B12+14)</f>
      </c>
      <c r="G12" s="3">
        <f>IF($B12="","",$B12+30)</f>
      </c>
      <c r="H12" s="2"/>
    </row>
    <row r="13">
      <c r="A13" s="5"/>
      <c r="B13" s="12"/>
      <c r="C13" s="12">
        <f>IF($B13="","",$B13+1)</f>
      </c>
      <c r="D13" s="12">
        <f>IF($B13="","",$B13+3)</f>
      </c>
      <c r="E13" s="12">
        <f>IF($B13="","",$B13+7)</f>
      </c>
      <c r="F13" s="12">
        <f>IF($B13="","",$B13+14)</f>
      </c>
      <c r="G13" s="12">
        <f>IF($B13="","",$B13+30)</f>
      </c>
      <c r="H13" s="5"/>
    </row>
    <row r="14">
      <c r="A14" s="2"/>
      <c r="B14" s="3"/>
      <c r="C14" s="3">
        <f>IF($B14="","",$B14+1)</f>
      </c>
      <c r="D14" s="3">
        <f>IF($B14="","",$B14+3)</f>
      </c>
      <c r="E14" s="3">
        <f>IF($B14="","",$B14+7)</f>
      </c>
      <c r="F14" s="3">
        <f>IF($B14="","",$B14+14)</f>
      </c>
      <c r="G14" s="3">
        <f>IF($B14="","",$B14+30)</f>
      </c>
      <c r="H14" s="2"/>
    </row>
    <row r="15">
      <c r="A15" s="5"/>
      <c r="B15" s="12"/>
      <c r="C15" s="12">
        <f>IF($B15="","",$B15+1)</f>
      </c>
      <c r="D15" s="12">
        <f>IF($B15="","",$B15+3)</f>
      </c>
      <c r="E15" s="12">
        <f>IF($B15="","",$B15+7)</f>
      </c>
      <c r="F15" s="12">
        <f>IF($B15="","",$B15+14)</f>
      </c>
      <c r="G15" s="12">
        <f>IF($B15="","",$B15+30)</f>
      </c>
      <c r="H15" s="5"/>
    </row>
    <row r="16">
      <c r="A16" s="2"/>
      <c r="B16" s="3"/>
      <c r="C16" s="3">
        <f>IF($B16="","",$B16+1)</f>
      </c>
      <c r="D16" s="3">
        <f>IF($B16="","",$B16+3)</f>
      </c>
      <c r="E16" s="3">
        <f>IF($B16="","",$B16+7)</f>
      </c>
      <c r="F16" s="3">
        <f>IF($B16="","",$B16+14)</f>
      </c>
      <c r="G16" s="3">
        <f>IF($B16="","",$B16+30)</f>
      </c>
      <c r="H16" s="2"/>
    </row>
    <row r="17">
      <c r="A17" s="5"/>
      <c r="B17" s="12"/>
      <c r="C17" s="12">
        <f>IF($B17="","",$B17+1)</f>
      </c>
      <c r="D17" s="12">
        <f>IF($B17="","",$B17+3)</f>
      </c>
      <c r="E17" s="12">
        <f>IF($B17="","",$B17+7)</f>
      </c>
      <c r="F17" s="12">
        <f>IF($B17="","",$B17+14)</f>
      </c>
      <c r="G17" s="12">
        <f>IF($B17="","",$B17+30)</f>
      </c>
      <c r="H17" s="5"/>
    </row>
    <row r="18">
      <c r="A18" s="2"/>
      <c r="B18" s="3"/>
      <c r="C18" s="3">
        <f>IF($B18="","",$B18+1)</f>
      </c>
      <c r="D18" s="3">
        <f>IF($B18="","",$B18+3)</f>
      </c>
      <c r="E18" s="3">
        <f>IF($B18="","",$B18+7)</f>
      </c>
      <c r="F18" s="3">
        <f>IF($B18="","",$B18+14)</f>
      </c>
      <c r="G18" s="3">
        <f>IF($B18="","",$B18+30)</f>
      </c>
      <c r="H18" s="2"/>
    </row>
    <row r="19">
      <c r="A19" s="5"/>
      <c r="B19" s="12"/>
      <c r="C19" s="12">
        <f>IF($B19="","",$B19+1)</f>
      </c>
      <c r="D19" s="12">
        <f>IF($B19="","",$B19+3)</f>
      </c>
      <c r="E19" s="12">
        <f>IF($B19="","",$B19+7)</f>
      </c>
      <c r="F19" s="12">
        <f>IF($B19="","",$B19+14)</f>
      </c>
      <c r="G19" s="12">
        <f>IF($B19="","",$B19+30)</f>
      </c>
      <c r="H19" s="5"/>
    </row>
    <row r="20">
      <c r="A20" s="2"/>
      <c r="B20" s="3"/>
      <c r="C20" s="3">
        <f>IF($B20="","",$B20+1)</f>
      </c>
      <c r="D20" s="3">
        <f>IF($B20="","",$B20+3)</f>
      </c>
      <c r="E20" s="3">
        <f>IF($B20="","",$B20+7)</f>
      </c>
      <c r="F20" s="3">
        <f>IF($B20="","",$B20+14)</f>
      </c>
      <c r="G20" s="3">
        <f>IF($B20="","",$B20+30)</f>
      </c>
      <c r="H20" s="2"/>
    </row>
    <row r="21">
      <c r="A21" s="5"/>
      <c r="B21" s="12"/>
      <c r="C21" s="12">
        <f>IF($B21="","",$B21+1)</f>
      </c>
      <c r="D21" s="12">
        <f>IF($B21="","",$B21+3)</f>
      </c>
      <c r="E21" s="12">
        <f>IF($B21="","",$B21+7)</f>
      </c>
      <c r="F21" s="12">
        <f>IF($B21="","",$B21+14)</f>
      </c>
      <c r="G21" s="12">
        <f>IF($B21="","",$B21+30)</f>
      </c>
      <c r="H21" s="5"/>
    </row>
    <row r="22">
      <c r="A22" s="2"/>
      <c r="B22" s="3"/>
      <c r="C22" s="3">
        <f>IF($B22="","",$B22+1)</f>
      </c>
      <c r="D22" s="3">
        <f>IF($B22="","",$B22+3)</f>
      </c>
      <c r="E22" s="3">
        <f>IF($B22="","",$B22+7)</f>
      </c>
      <c r="F22" s="3">
        <f>IF($B22="","",$B22+14)</f>
      </c>
      <c r="G22" s="3">
        <f>IF($B22="","",$B22+30)</f>
      </c>
      <c r="H22" s="2"/>
    </row>
    <row r="23">
      <c r="A23" s="5"/>
      <c r="B23" s="12"/>
      <c r="C23" s="12">
        <f>IF($B23="","",$B23+1)</f>
      </c>
      <c r="D23" s="12">
        <f>IF($B23="","",$B23+3)</f>
      </c>
      <c r="E23" s="12">
        <f>IF($B23="","",$B23+7)</f>
      </c>
      <c r="F23" s="12">
        <f>IF($B23="","",$B23+14)</f>
      </c>
      <c r="G23" s="12">
        <f>IF($B23="","",$B23+30)</f>
      </c>
      <c r="H23" s="5"/>
    </row>
    <row r="24">
      <c r="A24" s="2"/>
      <c r="B24" s="3"/>
      <c r="C24" s="3">
        <f>IF($B24="","",$B24+1)</f>
      </c>
      <c r="D24" s="3">
        <f>IF($B24="","",$B24+3)</f>
      </c>
      <c r="E24" s="3">
        <f>IF($B24="","",$B24+7)</f>
      </c>
      <c r="F24" s="3">
        <f>IF($B24="","",$B24+14)</f>
      </c>
      <c r="G24" s="3">
        <f>IF($B24="","",$B24+30)</f>
      </c>
      <c r="H24" s="2"/>
    </row>
    <row r="25">
      <c r="A25" s="5"/>
      <c r="B25" s="12"/>
      <c r="C25" s="12">
        <f>IF($B25="","",$B25+1)</f>
      </c>
      <c r="D25" s="12">
        <f>IF($B25="","",$B25+3)</f>
      </c>
      <c r="E25" s="12">
        <f>IF($B25="","",$B25+7)</f>
      </c>
      <c r="F25" s="12">
        <f>IF($B25="","",$B25+14)</f>
      </c>
      <c r="G25" s="12">
        <f>IF($B25="","",$B25+30)</f>
      </c>
      <c r="H25" s="5"/>
    </row>
    <row r="26">
      <c r="A26" s="2"/>
      <c r="B26" s="3"/>
      <c r="C26" s="3">
        <f>IF($B26="","",$B26+1)</f>
      </c>
      <c r="D26" s="3">
        <f>IF($B26="","",$B26+3)</f>
      </c>
      <c r="E26" s="3">
        <f>IF($B26="","",$B26+7)</f>
      </c>
      <c r="F26" s="3">
        <f>IF($B26="","",$B26+14)</f>
      </c>
      <c r="G26" s="3">
        <f>IF($B26="","",$B26+30)</f>
      </c>
      <c r="H26" s="2"/>
    </row>
    <row r="27">
      <c r="A27" s="5"/>
      <c r="B27" s="12"/>
      <c r="C27" s="12">
        <f>IF($B27="","",$B27+1)</f>
      </c>
      <c r="D27" s="12">
        <f>IF($B27="","",$B27+3)</f>
      </c>
      <c r="E27" s="12">
        <f>IF($B27="","",$B27+7)</f>
      </c>
      <c r="F27" s="12">
        <f>IF($B27="","",$B27+14)</f>
      </c>
      <c r="G27" s="12">
        <f>IF($B27="","",$B27+30)</f>
      </c>
      <c r="H27" s="5"/>
    </row>
    <row r="28">
      <c r="A28" s="2"/>
      <c r="B28" s="3"/>
      <c r="C28" s="3">
        <f>IF($B28="","",$B28+1)</f>
      </c>
      <c r="D28" s="3">
        <f>IF($B28="","",$B28+3)</f>
      </c>
      <c r="E28" s="3">
        <f>IF($B28="","",$B28+7)</f>
      </c>
      <c r="F28" s="3">
        <f>IF($B28="","",$B28+14)</f>
      </c>
      <c r="G28" s="3">
        <f>IF($B28="","",$B28+30)</f>
      </c>
      <c r="H28" s="2"/>
    </row>
    <row r="29">
      <c r="A29" s="5"/>
      <c r="B29" s="12"/>
      <c r="C29" s="12">
        <f>IF($B29="","",$B29+1)</f>
      </c>
      <c r="D29" s="12">
        <f>IF($B29="","",$B29+3)</f>
      </c>
      <c r="E29" s="12">
        <f>IF($B29="","",$B29+7)</f>
      </c>
      <c r="F29" s="12">
        <f>IF($B29="","",$B29+14)</f>
      </c>
      <c r="G29" s="12">
        <f>IF($B29="","",$B29+30)</f>
      </c>
      <c r="H29" s="5"/>
    </row>
    <row r="30">
      <c r="A30" s="2"/>
      <c r="B30" s="3"/>
      <c r="C30" s="3">
        <f>IF($B30="","",$B30+1)</f>
      </c>
      <c r="D30" s="3">
        <f>IF($B30="","",$B30+3)</f>
      </c>
      <c r="E30" s="3">
        <f>IF($B30="","",$B30+7)</f>
      </c>
      <c r="F30" s="3">
        <f>IF($B30="","",$B30+14)</f>
      </c>
      <c r="G30" s="3">
        <f>IF($B30="","",$B30+30)</f>
      </c>
      <c r="H30" s="2"/>
    </row>
    <row r="31">
      <c r="A31" s="5"/>
      <c r="B31" s="12"/>
      <c r="C31" s="12">
        <f>IF($B31="","",$B31+1)</f>
      </c>
      <c r="D31" s="12">
        <f>IF($B31="","",$B31+3)</f>
      </c>
      <c r="E31" s="12">
        <f>IF($B31="","",$B31+7)</f>
      </c>
      <c r="F31" s="12">
        <f>IF($B31="","",$B31+14)</f>
      </c>
      <c r="G31" s="12">
        <f>IF($B31="","",$B31+30)</f>
      </c>
      <c r="H31" s="5"/>
    </row>
    <row r="32">
      <c r="A32" s="2"/>
      <c r="B32" s="3"/>
      <c r="C32" s="3">
        <f>IF($B32="","",$B32+1)</f>
      </c>
      <c r="D32" s="3">
        <f>IF($B32="","",$B32+3)</f>
      </c>
      <c r="E32" s="3">
        <f>IF($B32="","",$B32+7)</f>
      </c>
      <c r="F32" s="3">
        <f>IF($B32="","",$B32+14)</f>
      </c>
      <c r="G32" s="3">
        <f>IF($B32="","",$B32+30)</f>
      </c>
      <c r="H32" s="2"/>
    </row>
    <row r="33">
      <c r="A33" s="5"/>
      <c r="B33" s="12"/>
      <c r="C33" s="12">
        <f>IF($B33="","",$B33+1)</f>
      </c>
      <c r="D33" s="12">
        <f>IF($B33="","",$B33+3)</f>
      </c>
      <c r="E33" s="12">
        <f>IF($B33="","",$B33+7)</f>
      </c>
      <c r="F33" s="12">
        <f>IF($B33="","",$B33+14)</f>
      </c>
      <c r="G33" s="12">
        <f>IF($B33="","",$B33+30)</f>
      </c>
      <c r="H33" s="5"/>
    </row>
    <row r="34">
      <c r="A34" s="2"/>
      <c r="B34" s="3"/>
      <c r="C34" s="3">
        <f>IF($B34="","",$B34+1)</f>
      </c>
      <c r="D34" s="3">
        <f>IF($B34="","",$B34+3)</f>
      </c>
      <c r="E34" s="3">
        <f>IF($B34="","",$B34+7)</f>
      </c>
      <c r="F34" s="3">
        <f>IF($B34="","",$B34+14)</f>
      </c>
      <c r="G34" s="3">
        <f>IF($B34="","",$B34+30)</f>
      </c>
      <c r="H34" s="2"/>
    </row>
    <row r="35">
      <c r="A35" s="5"/>
      <c r="B35" s="12"/>
      <c r="C35" s="12">
        <f>IF($B35="","",$B35+1)</f>
      </c>
      <c r="D35" s="12">
        <f>IF($B35="","",$B35+3)</f>
      </c>
      <c r="E35" s="12">
        <f>IF($B35="","",$B35+7)</f>
      </c>
      <c r="F35" s="12">
        <f>IF($B35="","",$B35+14)</f>
      </c>
      <c r="G35" s="12">
        <f>IF($B35="","",$B35+30)</f>
      </c>
      <c r="H35" s="5"/>
    </row>
    <row r="36">
      <c r="A36" s="2"/>
      <c r="B36" s="3"/>
      <c r="C36" s="3">
        <f>IF($B36="","",$B36+1)</f>
      </c>
      <c r="D36" s="3">
        <f>IF($B36="","",$B36+3)</f>
      </c>
      <c r="E36" s="3">
        <f>IF($B36="","",$B36+7)</f>
      </c>
      <c r="F36" s="3">
        <f>IF($B36="","",$B36+14)</f>
      </c>
      <c r="G36" s="3">
        <f>IF($B36="","",$B36+30)</f>
      </c>
      <c r="H36" s="2"/>
    </row>
    <row r="37">
      <c r="A37" s="5"/>
      <c r="B37" s="12"/>
      <c r="C37" s="12">
        <f>IF($B37="","",$B37+1)</f>
      </c>
      <c r="D37" s="12">
        <f>IF($B37="","",$B37+3)</f>
      </c>
      <c r="E37" s="12">
        <f>IF($B37="","",$B37+7)</f>
      </c>
      <c r="F37" s="12">
        <f>IF($B37="","",$B37+14)</f>
      </c>
      <c r="G37" s="12">
        <f>IF($B37="","",$B37+30)</f>
      </c>
      <c r="H37" s="5"/>
    </row>
    <row r="38">
      <c r="A38" s="2"/>
      <c r="B38" s="3"/>
      <c r="C38" s="3">
        <f>IF($B38="","",$B38+1)</f>
      </c>
      <c r="D38" s="3">
        <f>IF($B38="","",$B38+3)</f>
      </c>
      <c r="E38" s="3">
        <f>IF($B38="","",$B38+7)</f>
      </c>
      <c r="F38" s="3">
        <f>IF($B38="","",$B38+14)</f>
      </c>
      <c r="G38" s="3">
        <f>IF($B38="","",$B38+30)</f>
      </c>
      <c r="H38" s="2"/>
    </row>
    <row r="39">
      <c r="A39" s="5"/>
      <c r="B39" s="12"/>
      <c r="C39" s="12">
        <f>IF($B39="","",$B39+1)</f>
      </c>
      <c r="D39" s="12">
        <f>IF($B39="","",$B39+3)</f>
      </c>
      <c r="E39" s="12">
        <f>IF($B39="","",$B39+7)</f>
      </c>
      <c r="F39" s="12">
        <f>IF($B39="","",$B39+14)</f>
      </c>
      <c r="G39" s="12">
        <f>IF($B39="","",$B39+30)</f>
      </c>
      <c r="H39" s="5"/>
    </row>
    <row r="40">
      <c r="A40" s="2"/>
      <c r="B40" s="3"/>
      <c r="C40" s="3">
        <f>IF($B40="","",$B40+1)</f>
      </c>
      <c r="D40" s="3">
        <f>IF($B40="","",$B40+3)</f>
      </c>
      <c r="E40" s="3">
        <f>IF($B40="","",$B40+7)</f>
      </c>
      <c r="F40" s="3">
        <f>IF($B40="","",$B40+14)</f>
      </c>
      <c r="G40" s="3">
        <f>IF($B40="","",$B40+30)</f>
      </c>
      <c r="H40" s="2"/>
    </row>
    <row r="41">
      <c r="A41" s="5"/>
      <c r="B41" s="12"/>
      <c r="C41" s="12">
        <f>IF($B41="","",$B41+1)</f>
      </c>
      <c r="D41" s="12">
        <f>IF($B41="","",$B41+3)</f>
      </c>
      <c r="E41" s="12">
        <f>IF($B41="","",$B41+7)</f>
      </c>
      <c r="F41" s="12">
        <f>IF($B41="","",$B41+14)</f>
      </c>
      <c r="G41" s="12">
        <f>IF($B41="","",$B41+30)</f>
      </c>
      <c r="H41" s="5"/>
    </row>
    <row r="42">
      <c r="A42" s="2"/>
      <c r="B42" s="3"/>
      <c r="C42" s="3">
        <f>IF($B42="","",$B42+1)</f>
      </c>
      <c r="D42" s="3">
        <f>IF($B42="","",$B42+3)</f>
      </c>
      <c r="E42" s="3">
        <f>IF($B42="","",$B42+7)</f>
      </c>
      <c r="F42" s="3">
        <f>IF($B42="","",$B42+14)</f>
      </c>
      <c r="G42" s="3">
        <f>IF($B42="","",$B42+30)</f>
      </c>
      <c r="H42" s="2"/>
    </row>
    <row r="43">
      <c r="A43" s="5"/>
      <c r="B43" s="12"/>
      <c r="C43" s="12">
        <f>IF($B43="","",$B43+1)</f>
      </c>
      <c r="D43" s="12">
        <f>IF($B43="","",$B43+3)</f>
      </c>
      <c r="E43" s="12">
        <f>IF($B43="","",$B43+7)</f>
      </c>
      <c r="F43" s="12">
        <f>IF($B43="","",$B43+14)</f>
      </c>
      <c r="G43" s="12">
        <f>IF($B43="","",$B43+30)</f>
      </c>
      <c r="H43" s="5"/>
    </row>
    <row r="44">
      <c r="A44" s="2"/>
      <c r="B44" s="3"/>
      <c r="C44" s="3">
        <f>IF($B44="","",$B44+1)</f>
      </c>
      <c r="D44" s="3">
        <f>IF($B44="","",$B44+3)</f>
      </c>
      <c r="E44" s="3">
        <f>IF($B44="","",$B44+7)</f>
      </c>
      <c r="F44" s="3">
        <f>IF($B44="","",$B44+14)</f>
      </c>
      <c r="G44" s="3">
        <f>IF($B44="","",$B44+30)</f>
      </c>
      <c r="H44" s="2"/>
    </row>
    <row r="45">
      <c r="A45" s="5"/>
      <c r="B45" s="12"/>
      <c r="C45" s="12">
        <f>IF($B45="","",$B45+1)</f>
      </c>
      <c r="D45" s="12">
        <f>IF($B45="","",$B45+3)</f>
      </c>
      <c r="E45" s="12">
        <f>IF($B45="","",$B45+7)</f>
      </c>
      <c r="F45" s="12">
        <f>IF($B45="","",$B45+14)</f>
      </c>
      <c r="G45" s="12">
        <f>IF($B45="","",$B45+30)</f>
      </c>
      <c r="H45" s="5"/>
    </row>
    <row r="46">
      <c r="A46" s="2"/>
      <c r="B46" s="3"/>
      <c r="C46" s="3">
        <f>IF($B46="","",$B46+1)</f>
      </c>
      <c r="D46" s="3">
        <f>IF($B46="","",$B46+3)</f>
      </c>
      <c r="E46" s="3">
        <f>IF($B46="","",$B46+7)</f>
      </c>
      <c r="F46" s="3">
        <f>IF($B46="","",$B46+14)</f>
      </c>
      <c r="G46" s="3">
        <f>IF($B46="","",$B46+30)</f>
      </c>
      <c r="H46" s="2"/>
    </row>
    <row r="47">
      <c r="A47" s="5"/>
      <c r="B47" s="12"/>
      <c r="C47" s="12">
        <f>IF($B47="","",$B47+1)</f>
      </c>
      <c r="D47" s="12">
        <f>IF($B47="","",$B47+3)</f>
      </c>
      <c r="E47" s="12">
        <f>IF($B47="","",$B47+7)</f>
      </c>
      <c r="F47" s="12">
        <f>IF($B47="","",$B47+14)</f>
      </c>
      <c r="G47" s="12">
        <f>IF($B47="","",$B47+30)</f>
      </c>
      <c r="H47" s="5"/>
    </row>
    <row r="48">
      <c r="A48" s="2"/>
      <c r="B48" s="3"/>
      <c r="C48" s="3">
        <f>IF($B48="","",$B48+1)</f>
      </c>
      <c r="D48" s="3">
        <f>IF($B48="","",$B48+3)</f>
      </c>
      <c r="E48" s="3">
        <f>IF($B48="","",$B48+7)</f>
      </c>
      <c r="F48" s="3">
        <f>IF($B48="","",$B48+14)</f>
      </c>
      <c r="G48" s="3">
        <f>IF($B48="","",$B48+30)</f>
      </c>
      <c r="H48" s="2"/>
    </row>
    <row r="49">
      <c r="A49" s="5"/>
      <c r="B49" s="12"/>
      <c r="C49" s="12">
        <f>IF($B49="","",$B49+1)</f>
      </c>
      <c r="D49" s="12">
        <f>IF($B49="","",$B49+3)</f>
      </c>
      <c r="E49" s="12">
        <f>IF($B49="","",$B49+7)</f>
      </c>
      <c r="F49" s="12">
        <f>IF($B49="","",$B49+14)</f>
      </c>
      <c r="G49" s="12">
        <f>IF($B49="","",$B49+30)</f>
      </c>
      <c r="H49" s="5"/>
    </row>
    <row r="50">
      <c r="A50" s="2"/>
      <c r="B50" s="3"/>
      <c r="C50" s="3">
        <f>IF($B50="","",$B50+1)</f>
      </c>
      <c r="D50" s="3">
        <f>IF($B50="","",$B50+3)</f>
      </c>
      <c r="E50" s="3">
        <f>IF($B50="","",$B50+7)</f>
      </c>
      <c r="F50" s="3">
        <f>IF($B50="","",$B50+14)</f>
      </c>
      <c r="G50" s="3">
        <f>IF($B50="","",$B50+30)</f>
      </c>
      <c r="H50" s="2"/>
    </row>
    <row r="51">
      <c r="A51" s="5"/>
      <c r="B51" s="12"/>
      <c r="C51" s="12">
        <f>IF($B51="","",$B51+1)</f>
      </c>
      <c r="D51" s="12">
        <f>IF($B51="","",$B51+3)</f>
      </c>
      <c r="E51" s="12">
        <f>IF($B51="","",$B51+7)</f>
      </c>
      <c r="F51" s="12">
        <f>IF($B51="","",$B51+14)</f>
      </c>
      <c r="G51" s="12">
        <f>IF($B51="","",$B51+30)</f>
      </c>
      <c r="H51" s="5"/>
    </row>
    <row r="52">
      <c r="A52" s="2"/>
      <c r="B52" s="3"/>
      <c r="C52" s="3">
        <f>IF($B52="","",$B52+1)</f>
      </c>
      <c r="D52" s="3">
        <f>IF($B52="","",$B52+3)</f>
      </c>
      <c r="E52" s="3">
        <f>IF($B52="","",$B52+7)</f>
      </c>
      <c r="F52" s="3">
        <f>IF($B52="","",$B52+14)</f>
      </c>
      <c r="G52" s="3">
        <f>IF($B52="","",$B52+30)</f>
      </c>
      <c r="H52" s="2"/>
    </row>
    <row r="53">
      <c r="A53" s="5"/>
      <c r="B53" s="12"/>
      <c r="C53" s="12">
        <f>IF($B53="","",$B53+1)</f>
      </c>
      <c r="D53" s="12">
        <f>IF($B53="","",$B53+3)</f>
      </c>
      <c r="E53" s="12">
        <f>IF($B53="","",$B53+7)</f>
      </c>
      <c r="F53" s="12">
        <f>IF($B53="","",$B53+14)</f>
      </c>
      <c r="G53" s="12">
        <f>IF($B53="","",$B53+30)</f>
      </c>
      <c r="H53" s="5"/>
    </row>
    <row r="54">
      <c r="A54" s="2"/>
      <c r="B54" s="3"/>
      <c r="C54" s="3">
        <f>IF($B54="","",$B54+1)</f>
      </c>
      <c r="D54" s="3">
        <f>IF($B54="","",$B54+3)</f>
      </c>
      <c r="E54" s="3">
        <f>IF($B54="","",$B54+7)</f>
      </c>
      <c r="F54" s="3">
        <f>IF($B54="","",$B54+14)</f>
      </c>
      <c r="G54" s="3">
        <f>IF($B54="","",$B54+30)</f>
      </c>
      <c r="H54" s="2"/>
    </row>
    <row r="55">
      <c r="A55" s="5"/>
      <c r="B55" s="12"/>
      <c r="C55" s="12">
        <f>IF($B55="","",$B55+1)</f>
      </c>
      <c r="D55" s="12">
        <f>IF($B55="","",$B55+3)</f>
      </c>
      <c r="E55" s="12">
        <f>IF($B55="","",$B55+7)</f>
      </c>
      <c r="F55" s="12">
        <f>IF($B55="","",$B55+14)</f>
      </c>
      <c r="G55" s="12">
        <f>IF($B55="","",$B55+30)</f>
      </c>
      <c r="H55" s="5"/>
    </row>
    <row r="56">
      <c r="A56" s="2"/>
      <c r="B56" s="3"/>
      <c r="C56" s="3">
        <f>IF($B56="","",$B56+1)</f>
      </c>
      <c r="D56" s="3">
        <f>IF($B56="","",$B56+3)</f>
      </c>
      <c r="E56" s="3">
        <f>IF($B56="","",$B56+7)</f>
      </c>
      <c r="F56" s="3">
        <f>IF($B56="","",$B56+14)</f>
      </c>
      <c r="G56" s="3">
        <f>IF($B56="","",$B56+30)</f>
      </c>
      <c r="H56" s="2"/>
    </row>
    <row r="57">
      <c r="A57" s="5"/>
      <c r="B57" s="12"/>
      <c r="C57" s="12">
        <f>IF($B57="","",$B57+1)</f>
      </c>
      <c r="D57" s="12">
        <f>IF($B57="","",$B57+3)</f>
      </c>
      <c r="E57" s="12">
        <f>IF($B57="","",$B57+7)</f>
      </c>
      <c r="F57" s="12">
        <f>IF($B57="","",$B57+14)</f>
      </c>
      <c r="G57" s="12">
        <f>IF($B57="","",$B57+30)</f>
      </c>
      <c r="H57" s="5"/>
    </row>
    <row r="58">
      <c r="A58" s="2"/>
      <c r="B58" s="3"/>
      <c r="C58" s="3">
        <f>IF($B58="","",$B58+1)</f>
      </c>
      <c r="D58" s="3">
        <f>IF($B58="","",$B58+3)</f>
      </c>
      <c r="E58" s="3">
        <f>IF($B58="","",$B58+7)</f>
      </c>
      <c r="F58" s="3">
        <f>IF($B58="","",$B58+14)</f>
      </c>
      <c r="G58" s="3">
        <f>IF($B58="","",$B58+30)</f>
      </c>
      <c r="H58" s="2"/>
    </row>
    <row r="59">
      <c r="A59" s="5"/>
      <c r="B59" s="12"/>
      <c r="C59" s="12">
        <f>IF($B59="","",$B59+1)</f>
      </c>
      <c r="D59" s="12">
        <f>IF($B59="","",$B59+3)</f>
      </c>
      <c r="E59" s="12">
        <f>IF($B59="","",$B59+7)</f>
      </c>
      <c r="F59" s="12">
        <f>IF($B59="","",$B59+14)</f>
      </c>
      <c r="G59" s="12">
        <f>IF($B59="","",$B59+30)</f>
      </c>
      <c r="H59" s="5"/>
    </row>
    <row r="60">
      <c r="A60" s="2"/>
      <c r="B60" s="3"/>
      <c r="C60" s="3">
        <f>IF($B60="","",$B60+1)</f>
      </c>
      <c r="D60" s="3">
        <f>IF($B60="","",$B60+3)</f>
      </c>
      <c r="E60" s="3">
        <f>IF($B60="","",$B60+7)</f>
      </c>
      <c r="F60" s="3">
        <f>IF($B60="","",$B60+14)</f>
      </c>
      <c r="G60" s="3">
        <f>IF($B60="","",$B60+30)</f>
      </c>
      <c r="H60" s="2"/>
    </row>
    <row r="61">
      <c r="A61" s="5"/>
      <c r="B61" s="12"/>
      <c r="C61" s="12">
        <f>IF($B61="","",$B61+1)</f>
      </c>
      <c r="D61" s="12">
        <f>IF($B61="","",$B61+3)</f>
      </c>
      <c r="E61" s="12">
        <f>IF($B61="","",$B61+7)</f>
      </c>
      <c r="F61" s="12">
        <f>IF($B61="","",$B61+14)</f>
      </c>
      <c r="G61" s="12">
        <f>IF($B61="","",$B61+30)</f>
      </c>
      <c r="H61" s="5"/>
    </row>
    <row r="62">
      <c r="A62" s="2"/>
      <c r="B62" s="3"/>
      <c r="C62" s="3">
        <f>IF($B62="","",$B62+1)</f>
      </c>
      <c r="D62" s="3">
        <f>IF($B62="","",$B62+3)</f>
      </c>
      <c r="E62" s="3">
        <f>IF($B62="","",$B62+7)</f>
      </c>
      <c r="F62" s="3">
        <f>IF($B62="","",$B62+14)</f>
      </c>
      <c r="G62" s="3">
        <f>IF($B62="","",$B62+30)</f>
      </c>
      <c r="H62" s="2"/>
    </row>
    <row r="63">
      <c r="A63" s="5"/>
      <c r="B63" s="12"/>
      <c r="C63" s="12">
        <f>IF($B63="","",$B63+1)</f>
      </c>
      <c r="D63" s="12">
        <f>IF($B63="","",$B63+3)</f>
      </c>
      <c r="E63" s="12">
        <f>IF($B63="","",$B63+7)</f>
      </c>
      <c r="F63" s="12">
        <f>IF($B63="","",$B63+14)</f>
      </c>
      <c r="G63" s="12">
        <f>IF($B63="","",$B63+30)</f>
      </c>
      <c r="H63" s="5"/>
    </row>
    <row r="64">
      <c r="A64" s="2"/>
      <c r="B64" s="3"/>
      <c r="C64" s="3">
        <f>IF($B64="","",$B64+1)</f>
      </c>
      <c r="D64" s="3">
        <f>IF($B64="","",$B64+3)</f>
      </c>
      <c r="E64" s="3">
        <f>IF($B64="","",$B64+7)</f>
      </c>
      <c r="F64" s="3">
        <f>IF($B64="","",$B64+14)</f>
      </c>
      <c r="G64" s="3">
        <f>IF($B64="","",$B64+30)</f>
      </c>
      <c r="H64" s="2"/>
    </row>
    <row r="65">
      <c r="A65" s="5"/>
      <c r="B65" s="12"/>
      <c r="C65" s="12">
        <f>IF($B65="","",$B65+1)</f>
      </c>
      <c r="D65" s="12">
        <f>IF($B65="","",$B65+3)</f>
      </c>
      <c r="E65" s="12">
        <f>IF($B65="","",$B65+7)</f>
      </c>
      <c r="F65" s="12">
        <f>IF($B65="","",$B65+14)</f>
      </c>
      <c r="G65" s="12">
        <f>IF($B65="","",$B65+30)</f>
      </c>
      <c r="H65" s="5"/>
    </row>
    <row r="66">
      <c r="A66" s="2"/>
      <c r="B66" s="3"/>
      <c r="C66" s="3">
        <f>IF($B66="","",$B66+1)</f>
      </c>
      <c r="D66" s="3">
        <f>IF($B66="","",$B66+3)</f>
      </c>
      <c r="E66" s="3">
        <f>IF($B66="","",$B66+7)</f>
      </c>
      <c r="F66" s="3">
        <f>IF($B66="","",$B66+14)</f>
      </c>
      <c r="G66" s="3">
        <f>IF($B66="","",$B66+30)</f>
      </c>
      <c r="H66" s="2"/>
    </row>
    <row r="67">
      <c r="A67" s="5"/>
      <c r="B67" s="12"/>
      <c r="C67" s="12">
        <f>IF($B67="","",$B67+1)</f>
      </c>
      <c r="D67" s="12">
        <f>IF($B67="","",$B67+3)</f>
      </c>
      <c r="E67" s="12">
        <f>IF($B67="","",$B67+7)</f>
      </c>
      <c r="F67" s="12">
        <f>IF($B67="","",$B67+14)</f>
      </c>
      <c r="G67" s="12">
        <f>IF($B67="","",$B67+30)</f>
      </c>
      <c r="H67" s="5"/>
    </row>
    <row r="68">
      <c r="A68" s="2"/>
      <c r="B68" s="3"/>
      <c r="C68" s="3">
        <f>IF($B68="","",$B68+1)</f>
      </c>
      <c r="D68" s="3">
        <f>IF($B68="","",$B68+3)</f>
      </c>
      <c r="E68" s="3">
        <f>IF($B68="","",$B68+7)</f>
      </c>
      <c r="F68" s="3">
        <f>IF($B68="","",$B68+14)</f>
      </c>
      <c r="G68" s="3">
        <f>IF($B68="","",$B68+30)</f>
      </c>
      <c r="H68" s="2"/>
    </row>
    <row r="69">
      <c r="A69" s="5"/>
      <c r="B69" s="12"/>
      <c r="C69" s="12">
        <f>IF($B69="","",$B69+1)</f>
      </c>
      <c r="D69" s="12">
        <f>IF($B69="","",$B69+3)</f>
      </c>
      <c r="E69" s="12">
        <f>IF($B69="","",$B69+7)</f>
      </c>
      <c r="F69" s="12">
        <f>IF($B69="","",$B69+14)</f>
      </c>
      <c r="G69" s="12">
        <f>IF($B69="","",$B69+30)</f>
      </c>
      <c r="H69" s="5"/>
    </row>
    <row r="70">
      <c r="A70" s="2"/>
      <c r="B70" s="3"/>
      <c r="C70" s="3">
        <f>IF($B70="","",$B70+1)</f>
      </c>
      <c r="D70" s="3">
        <f>IF($B70="","",$B70+3)</f>
      </c>
      <c r="E70" s="3">
        <f>IF($B70="","",$B70+7)</f>
      </c>
      <c r="F70" s="3">
        <f>IF($B70="","",$B70+14)</f>
      </c>
      <c r="G70" s="3">
        <f>IF($B70="","",$B70+30)</f>
      </c>
      <c r="H70" s="2"/>
    </row>
    <row r="71">
      <c r="A71" s="5"/>
      <c r="B71" s="12"/>
      <c r="C71" s="12">
        <f>IF($B71="","",$B71+1)</f>
      </c>
      <c r="D71" s="12">
        <f>IF($B71="","",$B71+3)</f>
      </c>
      <c r="E71" s="12">
        <f>IF($B71="","",$B71+7)</f>
      </c>
      <c r="F71" s="12">
        <f>IF($B71="","",$B71+14)</f>
      </c>
      <c r="G71" s="12">
        <f>IF($B71="","",$B71+30)</f>
      </c>
      <c r="H71" s="5"/>
    </row>
    <row r="72">
      <c r="A72" s="2"/>
      <c r="B72" s="3"/>
      <c r="C72" s="3">
        <f>IF($B72="","",$B72+1)</f>
      </c>
      <c r="D72" s="3">
        <f>IF($B72="","",$B72+3)</f>
      </c>
      <c r="E72" s="3">
        <f>IF($B72="","",$B72+7)</f>
      </c>
      <c r="F72" s="3">
        <f>IF($B72="","",$B72+14)</f>
      </c>
      <c r="G72" s="3">
        <f>IF($B72="","",$B72+30)</f>
      </c>
      <c r="H72" s="2"/>
    </row>
    <row r="73">
      <c r="A73" s="5"/>
      <c r="B73" s="12"/>
      <c r="C73" s="12">
        <f>IF($B73="","",$B73+1)</f>
      </c>
      <c r="D73" s="12">
        <f>IF($B73="","",$B73+3)</f>
      </c>
      <c r="E73" s="12">
        <f>IF($B73="","",$B73+7)</f>
      </c>
      <c r="F73" s="12">
        <f>IF($B73="","",$B73+14)</f>
      </c>
      <c r="G73" s="12">
        <f>IF($B73="","",$B73+30)</f>
      </c>
      <c r="H73" s="5"/>
    </row>
    <row r="74">
      <c r="A74" s="2"/>
      <c r="B74" s="3"/>
      <c r="C74" s="3">
        <f>IF($B74="","",$B74+1)</f>
      </c>
      <c r="D74" s="3">
        <f>IF($B74="","",$B74+3)</f>
      </c>
      <c r="E74" s="3">
        <f>IF($B74="","",$B74+7)</f>
      </c>
      <c r="F74" s="3">
        <f>IF($B74="","",$B74+14)</f>
      </c>
      <c r="G74" s="3">
        <f>IF($B74="","",$B74+30)</f>
      </c>
      <c r="H74" s="2"/>
    </row>
    <row r="75">
      <c r="A75" s="5"/>
      <c r="B75" s="12"/>
      <c r="C75" s="12">
        <f>IF($B75="","",$B75+1)</f>
      </c>
      <c r="D75" s="12">
        <f>IF($B75="","",$B75+3)</f>
      </c>
      <c r="E75" s="12">
        <f>IF($B75="","",$B75+7)</f>
      </c>
      <c r="F75" s="12">
        <f>IF($B75="","",$B75+14)</f>
      </c>
      <c r="G75" s="12">
        <f>IF($B75="","",$B75+30)</f>
      </c>
      <c r="H75" s="5"/>
    </row>
    <row r="76">
      <c r="A76" s="2"/>
      <c r="B76" s="3"/>
      <c r="C76" s="3">
        <f>IF($B76="","",$B76+1)</f>
      </c>
      <c r="D76" s="3">
        <f>IF($B76="","",$B76+3)</f>
      </c>
      <c r="E76" s="3">
        <f>IF($B76="","",$B76+7)</f>
      </c>
      <c r="F76" s="3">
        <f>IF($B76="","",$B76+14)</f>
      </c>
      <c r="G76" s="3">
        <f>IF($B76="","",$B76+30)</f>
      </c>
      <c r="H76" s="2"/>
    </row>
    <row r="77">
      <c r="A77" s="5"/>
      <c r="B77" s="12"/>
      <c r="C77" s="12">
        <f>IF($B77="","",$B77+1)</f>
      </c>
      <c r="D77" s="12">
        <f>IF($B77="","",$B77+3)</f>
      </c>
      <c r="E77" s="12">
        <f>IF($B77="","",$B77+7)</f>
      </c>
      <c r="F77" s="12">
        <f>IF($B77="","",$B77+14)</f>
      </c>
      <c r="G77" s="12">
        <f>IF($B77="","",$B77+30)</f>
      </c>
      <c r="H77" s="5"/>
    </row>
    <row r="78">
      <c r="A78" s="2"/>
      <c r="B78" s="3"/>
      <c r="C78" s="3">
        <f>IF($B78="","",$B78+1)</f>
      </c>
      <c r="D78" s="3">
        <f>IF($B78="","",$B78+3)</f>
      </c>
      <c r="E78" s="3">
        <f>IF($B78="","",$B78+7)</f>
      </c>
      <c r="F78" s="3">
        <f>IF($B78="","",$B78+14)</f>
      </c>
      <c r="G78" s="3">
        <f>IF($B78="","",$B78+30)</f>
      </c>
      <c r="H78" s="2"/>
    </row>
    <row r="79">
      <c r="A79" s="5"/>
      <c r="B79" s="12"/>
      <c r="C79" s="12">
        <f>IF($B79="","",$B79+1)</f>
      </c>
      <c r="D79" s="12">
        <f>IF($B79="","",$B79+3)</f>
      </c>
      <c r="E79" s="12">
        <f>IF($B79="","",$B79+7)</f>
      </c>
      <c r="F79" s="12">
        <f>IF($B79="","",$B79+14)</f>
      </c>
      <c r="G79" s="12">
        <f>IF($B79="","",$B79+30)</f>
      </c>
      <c r="H79" s="5"/>
    </row>
    <row r="80">
      <c r="A80" s="2"/>
      <c r="B80" s="3"/>
      <c r="C80" s="3">
        <f>IF($B80="","",$B80+1)</f>
      </c>
      <c r="D80" s="3">
        <f>IF($B80="","",$B80+3)</f>
      </c>
      <c r="E80" s="3">
        <f>IF($B80="","",$B80+7)</f>
      </c>
      <c r="F80" s="3">
        <f>IF($B80="","",$B80+14)</f>
      </c>
      <c r="G80" s="3">
        <f>IF($B80="","",$B80+30)</f>
      </c>
      <c r="H80" s="2"/>
    </row>
    <row r="81">
      <c r="A81" s="5"/>
      <c r="B81" s="12"/>
      <c r="C81" s="12">
        <f>IF($B81="","",$B81+1)</f>
      </c>
      <c r="D81" s="12">
        <f>IF($B81="","",$B81+3)</f>
      </c>
      <c r="E81" s="12">
        <f>IF($B81="","",$B81+7)</f>
      </c>
      <c r="F81" s="12">
        <f>IF($B81="","",$B81+14)</f>
      </c>
      <c r="G81" s="12">
        <f>IF($B81="","",$B81+30)</f>
      </c>
      <c r="H81" s="5"/>
    </row>
    <row r="82">
      <c r="A82" s="2"/>
      <c r="B82" s="3"/>
      <c r="C82" s="3">
        <f>IF($B82="","",$B82+1)</f>
      </c>
      <c r="D82" s="3">
        <f>IF($B82="","",$B82+3)</f>
      </c>
      <c r="E82" s="3">
        <f>IF($B82="","",$B82+7)</f>
      </c>
      <c r="F82" s="3">
        <f>IF($B82="","",$B82+14)</f>
      </c>
      <c r="G82" s="3">
        <f>IF($B82="","",$B82+30)</f>
      </c>
      <c r="H82" s="2"/>
    </row>
    <row r="83">
      <c r="A83" s="5"/>
      <c r="B83" s="12"/>
      <c r="C83" s="12">
        <f>IF($B83="","",$B83+1)</f>
      </c>
      <c r="D83" s="12">
        <f>IF($B83="","",$B83+3)</f>
      </c>
      <c r="E83" s="12">
        <f>IF($B83="","",$B83+7)</f>
      </c>
      <c r="F83" s="12">
        <f>IF($B83="","",$B83+14)</f>
      </c>
      <c r="G83" s="12">
        <f>IF($B83="","",$B83+30)</f>
      </c>
      <c r="H83" s="5"/>
    </row>
    <row r="84">
      <c r="A84" s="2"/>
      <c r="B84" s="3"/>
      <c r="C84" s="3">
        <f>IF($B84="","",$B84+1)</f>
      </c>
      <c r="D84" s="3">
        <f>IF($B84="","",$B84+3)</f>
      </c>
      <c r="E84" s="3">
        <f>IF($B84="","",$B84+7)</f>
      </c>
      <c r="F84" s="3">
        <f>IF($B84="","",$B84+14)</f>
      </c>
      <c r="G84" s="3">
        <f>IF($B84="","",$B84+30)</f>
      </c>
      <c r="H84" s="2"/>
    </row>
    <row r="85">
      <c r="A85" s="5"/>
      <c r="B85" s="12"/>
      <c r="C85" s="12">
        <f>IF($B85="","",$B85+1)</f>
      </c>
      <c r="D85" s="12">
        <f>IF($B85="","",$B85+3)</f>
      </c>
      <c r="E85" s="12">
        <f>IF($B85="","",$B85+7)</f>
      </c>
      <c r="F85" s="12">
        <f>IF($B85="","",$B85+14)</f>
      </c>
      <c r="G85" s="12">
        <f>IF($B85="","",$B85+30)</f>
      </c>
      <c r="H85" s="5"/>
    </row>
    <row r="86">
      <c r="A86" s="2"/>
      <c r="B86" s="3"/>
      <c r="C86" s="3">
        <f>IF($B86="","",$B86+1)</f>
      </c>
      <c r="D86" s="3">
        <f>IF($B86="","",$B86+3)</f>
      </c>
      <c r="E86" s="3">
        <f>IF($B86="","",$B86+7)</f>
      </c>
      <c r="F86" s="3">
        <f>IF($B86="","",$B86+14)</f>
      </c>
      <c r="G86" s="3">
        <f>IF($B86="","",$B86+30)</f>
      </c>
      <c r="H86" s="2"/>
    </row>
    <row r="87">
      <c r="A87" s="5"/>
      <c r="B87" s="12"/>
      <c r="C87" s="12">
        <f>IF($B87="","",$B87+1)</f>
      </c>
      <c r="D87" s="12">
        <f>IF($B87="","",$B87+3)</f>
      </c>
      <c r="E87" s="12">
        <f>IF($B87="","",$B87+7)</f>
      </c>
      <c r="F87" s="12">
        <f>IF($B87="","",$B87+14)</f>
      </c>
      <c r="G87" s="12">
        <f>IF($B87="","",$B87+30)</f>
      </c>
      <c r="H87" s="5"/>
    </row>
    <row r="88">
      <c r="A88" s="2"/>
      <c r="B88" s="3"/>
      <c r="C88" s="3">
        <f>IF($B88="","",$B88+1)</f>
      </c>
      <c r="D88" s="3">
        <f>IF($B88="","",$B88+3)</f>
      </c>
      <c r="E88" s="3">
        <f>IF($B88="","",$B88+7)</f>
      </c>
      <c r="F88" s="3">
        <f>IF($B88="","",$B88+14)</f>
      </c>
      <c r="G88" s="3">
        <f>IF($B88="","",$B88+30)</f>
      </c>
      <c r="H88" s="2"/>
    </row>
    <row r="89">
      <c r="A89" s="5"/>
      <c r="B89" s="12"/>
      <c r="C89" s="12">
        <f>IF($B89="","",$B89+1)</f>
      </c>
      <c r="D89" s="12">
        <f>IF($B89="","",$B89+3)</f>
      </c>
      <c r="E89" s="12">
        <f>IF($B89="","",$B89+7)</f>
      </c>
      <c r="F89" s="12">
        <f>IF($B89="","",$B89+14)</f>
      </c>
      <c r="G89" s="12">
        <f>IF($B89="","",$B89+30)</f>
      </c>
      <c r="H89" s="5"/>
    </row>
    <row r="90">
      <c r="A90" s="2"/>
      <c r="B90" s="3"/>
      <c r="C90" s="3">
        <f>IF($B90="","",$B90+1)</f>
      </c>
      <c r="D90" s="3">
        <f>IF($B90="","",$B90+3)</f>
      </c>
      <c r="E90" s="3">
        <f>IF($B90="","",$B90+7)</f>
      </c>
      <c r="F90" s="3">
        <f>IF($B90="","",$B90+14)</f>
      </c>
      <c r="G90" s="3">
        <f>IF($B90="","",$B90+30)</f>
      </c>
      <c r="H90" s="2"/>
    </row>
    <row r="91">
      <c r="A91" s="5"/>
      <c r="B91" s="12"/>
      <c r="C91" s="12">
        <f>IF($B91="","",$B91+1)</f>
      </c>
      <c r="D91" s="12">
        <f>IF($B91="","",$B91+3)</f>
      </c>
      <c r="E91" s="12">
        <f>IF($B91="","",$B91+7)</f>
      </c>
      <c r="F91" s="12">
        <f>IF($B91="","",$B91+14)</f>
      </c>
      <c r="G91" s="12">
        <f>IF($B91="","",$B91+30)</f>
      </c>
      <c r="H91" s="5"/>
    </row>
    <row r="92">
      <c r="A92" s="2"/>
      <c r="B92" s="3"/>
      <c r="C92" s="3">
        <f>IF($B92="","",$B92+1)</f>
      </c>
      <c r="D92" s="3">
        <f>IF($B92="","",$B92+3)</f>
      </c>
      <c r="E92" s="3">
        <f>IF($B92="","",$B92+7)</f>
      </c>
      <c r="F92" s="3">
        <f>IF($B92="","",$B92+14)</f>
      </c>
      <c r="G92" s="3">
        <f>IF($B92="","",$B92+30)</f>
      </c>
      <c r="H92" s="2"/>
    </row>
    <row r="93">
      <c r="A93" s="5"/>
      <c r="B93" s="12"/>
      <c r="C93" s="12">
        <f>IF($B93="","",$B93+1)</f>
      </c>
      <c r="D93" s="12">
        <f>IF($B93="","",$B93+3)</f>
      </c>
      <c r="E93" s="12">
        <f>IF($B93="","",$B93+7)</f>
      </c>
      <c r="F93" s="12">
        <f>IF($B93="","",$B93+14)</f>
      </c>
      <c r="G93" s="12">
        <f>IF($B93="","",$B93+30)</f>
      </c>
      <c r="H93" s="5"/>
    </row>
    <row r="94">
      <c r="A94" s="2"/>
      <c r="B94" s="3"/>
      <c r="C94" s="3">
        <f>IF($B94="","",$B94+1)</f>
      </c>
      <c r="D94" s="3">
        <f>IF($B94="","",$B94+3)</f>
      </c>
      <c r="E94" s="3">
        <f>IF($B94="","",$B94+7)</f>
      </c>
      <c r="F94" s="3">
        <f>IF($B94="","",$B94+14)</f>
      </c>
      <c r="G94" s="3">
        <f>IF($B94="","",$B94+30)</f>
      </c>
      <c r="H94" s="2"/>
    </row>
    <row r="95">
      <c r="A95" s="5"/>
      <c r="B95" s="12"/>
      <c r="C95" s="12">
        <f>IF($B95="","",$B95+1)</f>
      </c>
      <c r="D95" s="12">
        <f>IF($B95="","",$B95+3)</f>
      </c>
      <c r="E95" s="12">
        <f>IF($B95="","",$B95+7)</f>
      </c>
      <c r="F95" s="12">
        <f>IF($B95="","",$B95+14)</f>
      </c>
      <c r="G95" s="12">
        <f>IF($B95="","",$B95+30)</f>
      </c>
      <c r="H95" s="5"/>
    </row>
    <row r="96">
      <c r="A96" s="2"/>
      <c r="B96" s="3"/>
      <c r="C96" s="3">
        <f>IF($B96="","",$B96+1)</f>
      </c>
      <c r="D96" s="3">
        <f>IF($B96="","",$B96+3)</f>
      </c>
      <c r="E96" s="3">
        <f>IF($B96="","",$B96+7)</f>
      </c>
      <c r="F96" s="3">
        <f>IF($B96="","",$B96+14)</f>
      </c>
      <c r="G96" s="3">
        <f>IF($B96="","",$B96+30)</f>
      </c>
      <c r="H96" s="2"/>
    </row>
    <row r="97">
      <c r="A97" s="5"/>
      <c r="B97" s="12"/>
      <c r="C97" s="12">
        <f>IF($B97="","",$B97+1)</f>
      </c>
      <c r="D97" s="12">
        <f>IF($B97="","",$B97+3)</f>
      </c>
      <c r="E97" s="12">
        <f>IF($B97="","",$B97+7)</f>
      </c>
      <c r="F97" s="12">
        <f>IF($B97="","",$B97+14)</f>
      </c>
      <c r="G97" s="12">
        <f>IF($B97="","",$B97+30)</f>
      </c>
      <c r="H97" s="5"/>
    </row>
    <row r="98">
      <c r="A98" s="2"/>
      <c r="B98" s="3"/>
      <c r="C98" s="3">
        <f>IF($B98="","",$B98+1)</f>
      </c>
      <c r="D98" s="3">
        <f>IF($B98="","",$B98+3)</f>
      </c>
      <c r="E98" s="3">
        <f>IF($B98="","",$B98+7)</f>
      </c>
      <c r="F98" s="3">
        <f>IF($B98="","",$B98+14)</f>
      </c>
      <c r="G98" s="3">
        <f>IF($B98="","",$B98+30)</f>
      </c>
      <c r="H98" s="2"/>
    </row>
    <row r="99">
      <c r="A99" s="5"/>
      <c r="B99" s="12"/>
      <c r="C99" s="12">
        <f>IF($B99="","",$B99+1)</f>
      </c>
      <c r="D99" s="12">
        <f>IF($B99="","",$B99+3)</f>
      </c>
      <c r="E99" s="12">
        <f>IF($B99="","",$B99+7)</f>
      </c>
      <c r="F99" s="12">
        <f>IF($B99="","",$B99+14)</f>
      </c>
      <c r="G99" s="12">
        <f>IF($B99="","",$B99+30)</f>
      </c>
      <c r="H99" s="5"/>
    </row>
    <row r="100">
      <c r="A100" s="2"/>
      <c r="B100" s="3"/>
      <c r="C100" s="3">
        <f>IF($B100="","",$B100+1)</f>
      </c>
      <c r="D100" s="3">
        <f>IF($B100="","",$B100+3)</f>
      </c>
      <c r="E100" s="3">
        <f>IF($B100="","",$B100+7)</f>
      </c>
      <c r="F100" s="3">
        <f>IF($B100="","",$B100+14)</f>
      </c>
      <c r="G100" s="3">
        <f>IF($B100="","",$B100+30)</f>
      </c>
      <c r="H100" s="2"/>
    </row>
    <row r="101">
      <c r="A101" s="5"/>
      <c r="B101" s="12"/>
      <c r="C101" s="12">
        <f>IF($B101="","",$B101+1)</f>
      </c>
      <c r="D101" s="12">
        <f>IF($B101="","",$B101+3)</f>
      </c>
      <c r="E101" s="12">
        <f>IF($B101="","",$B101+7)</f>
      </c>
      <c r="F101" s="12">
        <f>IF($B101="","",$B101+14)</f>
      </c>
      <c r="G101" s="12">
        <f>IF($B101="","",$B101+30)</f>
      </c>
      <c r="H101" s="5"/>
    </row>
    <row r="102">
      <c r="A102" s="2"/>
      <c r="B102" s="3"/>
      <c r="C102" s="3">
        <f>IF($B102="","",$B102+1)</f>
      </c>
      <c r="D102" s="3">
        <f>IF($B102="","",$B102+3)</f>
      </c>
      <c r="E102" s="3">
        <f>IF($B102="","",$B102+7)</f>
      </c>
      <c r="F102" s="3">
        <f>IF($B102="","",$B102+14)</f>
      </c>
      <c r="G102" s="3">
        <f>IF($B102="","",$B102+30)</f>
      </c>
      <c r="H102" s="2"/>
    </row>
    <row r="103">
      <c r="A103" s="5"/>
      <c r="B103" s="12"/>
      <c r="C103" s="12">
        <f>IF($B103="","",$B103+1)</f>
      </c>
      <c r="D103" s="12">
        <f>IF($B103="","",$B103+3)</f>
      </c>
      <c r="E103" s="12">
        <f>IF($B103="","",$B103+7)</f>
      </c>
      <c r="F103" s="12">
        <f>IF($B103="","",$B103+14)</f>
      </c>
      <c r="G103" s="12">
        <f>IF($B103="","",$B103+30)</f>
      </c>
      <c r="H103" s="5"/>
    </row>
    <row r="104">
      <c r="A104" s="2"/>
      <c r="B104" s="3"/>
      <c r="C104" s="3">
        <f>IF($B104="","",$B104+1)</f>
      </c>
      <c r="D104" s="3">
        <f>IF($B104="","",$B104+3)</f>
      </c>
      <c r="E104" s="3">
        <f>IF($B104="","",$B104+7)</f>
      </c>
      <c r="F104" s="3">
        <f>IF($B104="","",$B104+14)</f>
      </c>
      <c r="G104" s="3">
        <f>IF($B104="","",$B104+30)</f>
      </c>
      <c r="H104" s="2"/>
    </row>
    <row r="105">
      <c r="A105" s="5"/>
      <c r="B105" s="12"/>
      <c r="C105" s="12">
        <f>IF($B105="","",$B105+1)</f>
      </c>
      <c r="D105" s="12">
        <f>IF($B105="","",$B105+3)</f>
      </c>
      <c r="E105" s="12">
        <f>IF($B105="","",$B105+7)</f>
      </c>
      <c r="F105" s="12">
        <f>IF($B105="","",$B105+14)</f>
      </c>
      <c r="G105" s="12">
        <f>IF($B105="","",$B105+30)</f>
      </c>
      <c r="H105" s="5"/>
    </row>
    <row r="106">
      <c r="A106" s="2"/>
      <c r="B106" s="3"/>
      <c r="C106" s="3">
        <f>IF($B106="","",$B106+1)</f>
      </c>
      <c r="D106" s="3">
        <f>IF($B106="","",$B106+3)</f>
      </c>
      <c r="E106" s="3">
        <f>IF($B106="","",$B106+7)</f>
      </c>
      <c r="F106" s="3">
        <f>IF($B106="","",$B106+14)</f>
      </c>
      <c r="G106" s="3">
        <f>IF($B106="","",$B106+30)</f>
      </c>
      <c r="H106" s="2"/>
    </row>
    <row r="107">
      <c r="A107" s="5"/>
      <c r="B107" s="12"/>
      <c r="C107" s="12">
        <f>IF($B107="","",$B107+1)</f>
      </c>
      <c r="D107" s="12">
        <f>IF($B107="","",$B107+3)</f>
      </c>
      <c r="E107" s="12">
        <f>IF($B107="","",$B107+7)</f>
      </c>
      <c r="F107" s="12">
        <f>IF($B107="","",$B107+14)</f>
      </c>
      <c r="G107" s="12">
        <f>IF($B107="","",$B107+30)</f>
      </c>
      <c r="H107" s="5"/>
    </row>
    <row r="108">
      <c r="A108" s="2"/>
      <c r="B108" s="3"/>
      <c r="C108" s="3">
        <f>IF($B108="","",$B108+1)</f>
      </c>
      <c r="D108" s="3">
        <f>IF($B108="","",$B108+3)</f>
      </c>
      <c r="E108" s="3">
        <f>IF($B108="","",$B108+7)</f>
      </c>
      <c r="F108" s="3">
        <f>IF($B108="","",$B108+14)</f>
      </c>
      <c r="G108" s="3">
        <f>IF($B108="","",$B108+30)</f>
      </c>
      <c r="H108" s="2"/>
    </row>
    <row r="109">
      <c r="A109" s="5"/>
      <c r="B109" s="12"/>
      <c r="C109" s="12">
        <f>IF($B109="","",$B109+1)</f>
      </c>
      <c r="D109" s="12">
        <f>IF($B109="","",$B109+3)</f>
      </c>
      <c r="E109" s="12">
        <f>IF($B109="","",$B109+7)</f>
      </c>
      <c r="F109" s="12">
        <f>IF($B109="","",$B109+14)</f>
      </c>
      <c r="G109" s="12">
        <f>IF($B109="","",$B109+30)</f>
      </c>
      <c r="H109" s="5"/>
    </row>
    <row r="110">
      <c r="A110" s="2"/>
      <c r="B110" s="3"/>
      <c r="C110" s="3">
        <f>IF($B110="","",$B110+1)</f>
      </c>
      <c r="D110" s="3">
        <f>IF($B110="","",$B110+3)</f>
      </c>
      <c r="E110" s="3">
        <f>IF($B110="","",$B110+7)</f>
      </c>
      <c r="F110" s="3">
        <f>IF($B110="","",$B110+14)</f>
      </c>
      <c r="G110" s="3">
        <f>IF($B110="","",$B110+30)</f>
      </c>
      <c r="H110" s="2"/>
    </row>
    <row r="111">
      <c r="A111" s="5"/>
      <c r="B111" s="12"/>
      <c r="C111" s="12">
        <f>IF($B111="","",$B111+1)</f>
      </c>
      <c r="D111" s="12">
        <f>IF($B111="","",$B111+3)</f>
      </c>
      <c r="E111" s="12">
        <f>IF($B111="","",$B111+7)</f>
      </c>
      <c r="F111" s="12">
        <f>IF($B111="","",$B111+14)</f>
      </c>
      <c r="G111" s="12">
        <f>IF($B111="","",$B111+30)</f>
      </c>
      <c r="H111" s="5"/>
    </row>
    <row r="112">
      <c r="A112" s="2"/>
      <c r="B112" s="3"/>
      <c r="C112" s="3">
        <f>IF($B112="","",$B112+1)</f>
      </c>
      <c r="D112" s="3">
        <f>IF($B112="","",$B112+3)</f>
      </c>
      <c r="E112" s="3">
        <f>IF($B112="","",$B112+7)</f>
      </c>
      <c r="F112" s="3">
        <f>IF($B112="","",$B112+14)</f>
      </c>
      <c r="G112" s="3">
        <f>IF($B112="","",$B112+30)</f>
      </c>
      <c r="H112" s="2"/>
    </row>
    <row r="113">
      <c r="A113" s="5"/>
      <c r="B113" s="12"/>
      <c r="C113" s="12">
        <f>IF($B113="","",$B113+1)</f>
      </c>
      <c r="D113" s="12">
        <f>IF($B113="","",$B113+3)</f>
      </c>
      <c r="E113" s="12">
        <f>IF($B113="","",$B113+7)</f>
      </c>
      <c r="F113" s="12">
        <f>IF($B113="","",$B113+14)</f>
      </c>
      <c r="G113" s="12">
        <f>IF($B113="","",$B113+30)</f>
      </c>
      <c r="H113" s="5"/>
    </row>
    <row r="114">
      <c r="A114" s="2"/>
      <c r="B114" s="3"/>
      <c r="C114" s="3">
        <f>IF($B114="","",$B114+1)</f>
      </c>
      <c r="D114" s="3">
        <f>IF($B114="","",$B114+3)</f>
      </c>
      <c r="E114" s="3">
        <f>IF($B114="","",$B114+7)</f>
      </c>
      <c r="F114" s="3">
        <f>IF($B114="","",$B114+14)</f>
      </c>
      <c r="G114" s="3">
        <f>IF($B114="","",$B114+30)</f>
      </c>
      <c r="H114" s="2"/>
    </row>
    <row r="115">
      <c r="A115" s="5"/>
      <c r="B115" s="12"/>
      <c r="C115" s="12">
        <f>IF($B115="","",$B115+1)</f>
      </c>
      <c r="D115" s="12">
        <f>IF($B115="","",$B115+3)</f>
      </c>
      <c r="E115" s="12">
        <f>IF($B115="","",$B115+7)</f>
      </c>
      <c r="F115" s="12">
        <f>IF($B115="","",$B115+14)</f>
      </c>
      <c r="G115" s="12">
        <f>IF($B115="","",$B115+30)</f>
      </c>
      <c r="H115" s="5"/>
    </row>
    <row r="116">
      <c r="A116" s="2"/>
      <c r="B116" s="3"/>
      <c r="C116" s="3">
        <f>IF($B116="","",$B116+1)</f>
      </c>
      <c r="D116" s="3">
        <f>IF($B116="","",$B116+3)</f>
      </c>
      <c r="E116" s="3">
        <f>IF($B116="","",$B116+7)</f>
      </c>
      <c r="F116" s="3">
        <f>IF($B116="","",$B116+14)</f>
      </c>
      <c r="G116" s="3">
        <f>IF($B116="","",$B116+30)</f>
      </c>
      <c r="H116" s="2"/>
    </row>
    <row r="117">
      <c r="A117" s="5"/>
      <c r="B117" s="12"/>
      <c r="C117" s="12">
        <f>IF($B117="","",$B117+1)</f>
      </c>
      <c r="D117" s="12">
        <f>IF($B117="","",$B117+3)</f>
      </c>
      <c r="E117" s="12">
        <f>IF($B117="","",$B117+7)</f>
      </c>
      <c r="F117" s="12">
        <f>IF($B117="","",$B117+14)</f>
      </c>
      <c r="G117" s="12">
        <f>IF($B117="","",$B117+30)</f>
      </c>
      <c r="H117" s="5"/>
    </row>
    <row r="118">
      <c r="A118" s="2"/>
      <c r="B118" s="3"/>
      <c r="C118" s="3">
        <f>IF($B118="","",$B118+1)</f>
      </c>
      <c r="D118" s="3">
        <f>IF($B118="","",$B118+3)</f>
      </c>
      <c r="E118" s="3">
        <f>IF($B118="","",$B118+7)</f>
      </c>
      <c r="F118" s="3">
        <f>IF($B118="","",$B118+14)</f>
      </c>
      <c r="G118" s="3">
        <f>IF($B118="","",$B118+30)</f>
      </c>
      <c r="H118" s="2"/>
    </row>
    <row r="119">
      <c r="A119" s="5"/>
      <c r="B119" s="12"/>
      <c r="C119" s="12">
        <f>IF($B119="","",$B119+1)</f>
      </c>
      <c r="D119" s="12">
        <f>IF($B119="","",$B119+3)</f>
      </c>
      <c r="E119" s="12">
        <f>IF($B119="","",$B119+7)</f>
      </c>
      <c r="F119" s="12">
        <f>IF($B119="","",$B119+14)</f>
      </c>
      <c r="G119" s="12">
        <f>IF($B119="","",$B119+30)</f>
      </c>
      <c r="H119" s="5"/>
    </row>
    <row r="120">
      <c r="A120" s="2"/>
      <c r="B120" s="3"/>
      <c r="C120" s="3">
        <f>IF($B120="","",$B120+1)</f>
      </c>
      <c r="D120" s="3">
        <f>IF($B120="","",$B120+3)</f>
      </c>
      <c r="E120" s="3">
        <f>IF($B120="","",$B120+7)</f>
      </c>
      <c r="F120" s="3">
        <f>IF($B120="","",$B120+14)</f>
      </c>
      <c r="G120" s="3">
        <f>IF($B120="","",$B120+30)</f>
      </c>
      <c r="H120" s="2"/>
    </row>
    <row r="121">
      <c r="A121" s="5"/>
      <c r="B121" s="12"/>
      <c r="C121" s="12">
        <f>IF($B121="","",$B121+1)</f>
      </c>
      <c r="D121" s="12">
        <f>IF($B121="","",$B121+3)</f>
      </c>
      <c r="E121" s="12">
        <f>IF($B121="","",$B121+7)</f>
      </c>
      <c r="F121" s="12">
        <f>IF($B121="","",$B121+14)</f>
      </c>
      <c r="G121" s="12">
        <f>IF($B121="","",$B121+30)</f>
      </c>
      <c r="H121" s="5"/>
    </row>
    <row r="122">
      <c r="A122" s="2"/>
      <c r="B122" s="3"/>
      <c r="C122" s="3">
        <f>IF($B122="","",$B122+1)</f>
      </c>
      <c r="D122" s="3">
        <f>IF($B122="","",$B122+3)</f>
      </c>
      <c r="E122" s="3">
        <f>IF($B122="","",$B122+7)</f>
      </c>
      <c r="F122" s="3">
        <f>IF($B122="","",$B122+14)</f>
      </c>
      <c r="G122" s="3">
        <f>IF($B122="","",$B122+30)</f>
      </c>
      <c r="H122" s="2"/>
    </row>
    <row r="123">
      <c r="A123" s="5"/>
      <c r="B123" s="12"/>
      <c r="C123" s="12">
        <f>IF($B123="","",$B123+1)</f>
      </c>
      <c r="D123" s="12">
        <f>IF($B123="","",$B123+3)</f>
      </c>
      <c r="E123" s="12">
        <f>IF($B123="","",$B123+7)</f>
      </c>
      <c r="F123" s="12">
        <f>IF($B123="","",$B123+14)</f>
      </c>
      <c r="G123" s="12">
        <f>IF($B123="","",$B123+30)</f>
      </c>
      <c r="H123" s="5"/>
    </row>
    <row r="124">
      <c r="A124" s="2"/>
      <c r="B124" s="3"/>
      <c r="C124" s="3">
        <f>IF($B124="","",$B124+1)</f>
      </c>
      <c r="D124" s="3">
        <f>IF($B124="","",$B124+3)</f>
      </c>
      <c r="E124" s="3">
        <f>IF($B124="","",$B124+7)</f>
      </c>
      <c r="F124" s="3">
        <f>IF($B124="","",$B124+14)</f>
      </c>
      <c r="G124" s="3">
        <f>IF($B124="","",$B124+30)</f>
      </c>
      <c r="H124" s="2"/>
    </row>
    <row r="125">
      <c r="A125" s="5"/>
      <c r="B125" s="12"/>
      <c r="C125" s="12">
        <f>IF($B125="","",$B125+1)</f>
      </c>
      <c r="D125" s="12">
        <f>IF($B125="","",$B125+3)</f>
      </c>
      <c r="E125" s="12">
        <f>IF($B125="","",$B125+7)</f>
      </c>
      <c r="F125" s="12">
        <f>IF($B125="","",$B125+14)</f>
      </c>
      <c r="G125" s="12">
        <f>IF($B125="","",$B125+30)</f>
      </c>
      <c r="H125" s="5"/>
    </row>
    <row r="126">
      <c r="A126" s="2"/>
      <c r="B126" s="3"/>
      <c r="C126" s="3">
        <f>IF($B126="","",$B126+1)</f>
      </c>
      <c r="D126" s="3">
        <f>IF($B126="","",$B126+3)</f>
      </c>
      <c r="E126" s="3">
        <f>IF($B126="","",$B126+7)</f>
      </c>
      <c r="F126" s="3">
        <f>IF($B126="","",$B126+14)</f>
      </c>
      <c r="G126" s="3">
        <f>IF($B126="","",$B126+30)</f>
      </c>
      <c r="H126" s="2"/>
    </row>
    <row r="127">
      <c r="A127" s="5"/>
      <c r="B127" s="12"/>
      <c r="C127" s="12">
        <f>IF($B127="","",$B127+1)</f>
      </c>
      <c r="D127" s="12">
        <f>IF($B127="","",$B127+3)</f>
      </c>
      <c r="E127" s="12">
        <f>IF($B127="","",$B127+7)</f>
      </c>
      <c r="F127" s="12">
        <f>IF($B127="","",$B127+14)</f>
      </c>
      <c r="G127" s="12">
        <f>IF($B127="","",$B127+30)</f>
      </c>
      <c r="H127" s="5"/>
    </row>
    <row r="128">
      <c r="A128" s="2"/>
      <c r="B128" s="3"/>
      <c r="C128" s="3">
        <f>IF($B128="","",$B128+1)</f>
      </c>
      <c r="D128" s="3">
        <f>IF($B128="","",$B128+3)</f>
      </c>
      <c r="E128" s="3">
        <f>IF($B128="","",$B128+7)</f>
      </c>
      <c r="F128" s="3">
        <f>IF($B128="","",$B128+14)</f>
      </c>
      <c r="G128" s="3">
        <f>IF($B128="","",$B128+30)</f>
      </c>
      <c r="H128" s="2"/>
    </row>
    <row r="129">
      <c r="A129" s="5"/>
      <c r="B129" s="12"/>
      <c r="C129" s="12">
        <f>IF($B129="","",$B129+1)</f>
      </c>
      <c r="D129" s="12">
        <f>IF($B129="","",$B129+3)</f>
      </c>
      <c r="E129" s="12">
        <f>IF($B129="","",$B129+7)</f>
      </c>
      <c r="F129" s="12">
        <f>IF($B129="","",$B129+14)</f>
      </c>
      <c r="G129" s="12">
        <f>IF($B129="","",$B129+30)</f>
      </c>
      <c r="H129" s="5"/>
    </row>
    <row r="130">
      <c r="A130" s="2"/>
      <c r="B130" s="3"/>
      <c r="C130" s="3">
        <f>IF($B130="","",$B130+1)</f>
      </c>
      <c r="D130" s="3">
        <f>IF($B130="","",$B130+3)</f>
      </c>
      <c r="E130" s="3">
        <f>IF($B130="","",$B130+7)</f>
      </c>
      <c r="F130" s="3">
        <f>IF($B130="","",$B130+14)</f>
      </c>
      <c r="G130" s="3">
        <f>IF($B130="","",$B130+30)</f>
      </c>
      <c r="H130" s="2"/>
    </row>
    <row r="131">
      <c r="A131" s="5"/>
      <c r="B131" s="12"/>
      <c r="C131" s="12">
        <f>IF($B131="","",$B131+1)</f>
      </c>
      <c r="D131" s="12">
        <f>IF($B131="","",$B131+3)</f>
      </c>
      <c r="E131" s="12">
        <f>IF($B131="","",$B131+7)</f>
      </c>
      <c r="F131" s="12">
        <f>IF($B131="","",$B131+14)</f>
      </c>
      <c r="G131" s="12">
        <f>IF($B131="","",$B131+30)</f>
      </c>
      <c r="H131" s="5"/>
    </row>
    <row r="132">
      <c r="A132" s="2"/>
      <c r="B132" s="3"/>
      <c r="C132" s="3">
        <f>IF($B132="","",$B132+1)</f>
      </c>
      <c r="D132" s="3">
        <f>IF($B132="","",$B132+3)</f>
      </c>
      <c r="E132" s="3">
        <f>IF($B132="","",$B132+7)</f>
      </c>
      <c r="F132" s="3">
        <f>IF($B132="","",$B132+14)</f>
      </c>
      <c r="G132" s="3">
        <f>IF($B132="","",$B132+30)</f>
      </c>
      <c r="H132" s="2"/>
    </row>
    <row r="133">
      <c r="A133" s="5"/>
      <c r="B133" s="12"/>
      <c r="C133" s="12">
        <f>IF($B133="","",$B133+1)</f>
      </c>
      <c r="D133" s="12">
        <f>IF($B133="","",$B133+3)</f>
      </c>
      <c r="E133" s="12">
        <f>IF($B133="","",$B133+7)</f>
      </c>
      <c r="F133" s="12">
        <f>IF($B133="","",$B133+14)</f>
      </c>
      <c r="G133" s="12">
        <f>IF($B133="","",$B133+30)</f>
      </c>
      <c r="H133" s="5"/>
    </row>
    <row r="134">
      <c r="A134" s="2"/>
      <c r="B134" s="3"/>
      <c r="C134" s="3">
        <f>IF($B134="","",$B134+1)</f>
      </c>
      <c r="D134" s="3">
        <f>IF($B134="","",$B134+3)</f>
      </c>
      <c r="E134" s="3">
        <f>IF($B134="","",$B134+7)</f>
      </c>
      <c r="F134" s="3">
        <f>IF($B134="","",$B134+14)</f>
      </c>
      <c r="G134" s="3">
        <f>IF($B134="","",$B134+30)</f>
      </c>
      <c r="H134" s="2"/>
    </row>
    <row r="135">
      <c r="A135" s="5"/>
      <c r="B135" s="12"/>
      <c r="C135" s="12">
        <f>IF($B135="","",$B135+1)</f>
      </c>
      <c r="D135" s="12">
        <f>IF($B135="","",$B135+3)</f>
      </c>
      <c r="E135" s="12">
        <f>IF($B135="","",$B135+7)</f>
      </c>
      <c r="F135" s="12">
        <f>IF($B135="","",$B135+14)</f>
      </c>
      <c r="G135" s="12">
        <f>IF($B135="","",$B135+30)</f>
      </c>
      <c r="H135" s="5"/>
    </row>
    <row r="136">
      <c r="A136" s="2"/>
      <c r="B136" s="3"/>
      <c r="C136" s="3">
        <f>IF($B136="","",$B136+1)</f>
      </c>
      <c r="D136" s="3">
        <f>IF($B136="","",$B136+3)</f>
      </c>
      <c r="E136" s="3">
        <f>IF($B136="","",$B136+7)</f>
      </c>
      <c r="F136" s="3">
        <f>IF($B136="","",$B136+14)</f>
      </c>
      <c r="G136" s="3">
        <f>IF($B136="","",$B136+30)</f>
      </c>
      <c r="H136" s="2"/>
    </row>
    <row r="137">
      <c r="A137" s="5"/>
      <c r="B137" s="12"/>
      <c r="C137" s="12">
        <f>IF($B137="","",$B137+1)</f>
      </c>
      <c r="D137" s="12">
        <f>IF($B137="","",$B137+3)</f>
      </c>
      <c r="E137" s="12">
        <f>IF($B137="","",$B137+7)</f>
      </c>
      <c r="F137" s="12">
        <f>IF($B137="","",$B137+14)</f>
      </c>
      <c r="G137" s="12">
        <f>IF($B137="","",$B137+30)</f>
      </c>
      <c r="H137" s="5"/>
    </row>
    <row r="138">
      <c r="A138" s="2"/>
      <c r="B138" s="3"/>
      <c r="C138" s="3">
        <f>IF($B138="","",$B138+1)</f>
      </c>
      <c r="D138" s="3">
        <f>IF($B138="","",$B138+3)</f>
      </c>
      <c r="E138" s="3">
        <f>IF($B138="","",$B138+7)</f>
      </c>
      <c r="F138" s="3">
        <f>IF($B138="","",$B138+14)</f>
      </c>
      <c r="G138" s="3">
        <f>IF($B138="","",$B138+30)</f>
      </c>
      <c r="H138" s="2"/>
    </row>
    <row r="139">
      <c r="A139" s="5"/>
      <c r="B139" s="12"/>
      <c r="C139" s="12">
        <f>IF($B139="","",$B139+1)</f>
      </c>
      <c r="D139" s="12">
        <f>IF($B139="","",$B139+3)</f>
      </c>
      <c r="E139" s="12">
        <f>IF($B139="","",$B139+7)</f>
      </c>
      <c r="F139" s="12">
        <f>IF($B139="","",$B139+14)</f>
      </c>
      <c r="G139" s="12">
        <f>IF($B139="","",$B139+30)</f>
      </c>
      <c r="H139" s="5"/>
    </row>
    <row r="140">
      <c r="A140" s="2"/>
      <c r="B140" s="3"/>
      <c r="C140" s="3">
        <f>IF($B140="","",$B140+1)</f>
      </c>
      <c r="D140" s="3">
        <f>IF($B140="","",$B140+3)</f>
      </c>
      <c r="E140" s="3">
        <f>IF($B140="","",$B140+7)</f>
      </c>
      <c r="F140" s="3">
        <f>IF($B140="","",$B140+14)</f>
      </c>
      <c r="G140" s="3">
        <f>IF($B140="","",$B140+30)</f>
      </c>
      <c r="H140" s="2"/>
    </row>
    <row r="141">
      <c r="A141" s="5"/>
      <c r="B141" s="12"/>
      <c r="C141" s="12">
        <f>IF($B141="","",$B141+1)</f>
      </c>
      <c r="D141" s="12">
        <f>IF($B141="","",$B141+3)</f>
      </c>
      <c r="E141" s="12">
        <f>IF($B141="","",$B141+7)</f>
      </c>
      <c r="F141" s="12">
        <f>IF($B141="","",$B141+14)</f>
      </c>
      <c r="G141" s="12">
        <f>IF($B141="","",$B141+30)</f>
      </c>
      <c r="H141" s="5"/>
    </row>
    <row r="142">
      <c r="A142" s="2"/>
      <c r="B142" s="3"/>
      <c r="C142" s="3">
        <f>IF($B142="","",$B142+1)</f>
      </c>
      <c r="D142" s="3">
        <f>IF($B142="","",$B142+3)</f>
      </c>
      <c r="E142" s="3">
        <f>IF($B142="","",$B142+7)</f>
      </c>
      <c r="F142" s="3">
        <f>IF($B142="","",$B142+14)</f>
      </c>
      <c r="G142" s="3">
        <f>IF($B142="","",$B142+30)</f>
      </c>
      <c r="H142" s="2"/>
    </row>
    <row r="143">
      <c r="A143" s="5"/>
      <c r="B143" s="12"/>
      <c r="C143" s="12">
        <f>IF($B143="","",$B143+1)</f>
      </c>
      <c r="D143" s="12">
        <f>IF($B143="","",$B143+3)</f>
      </c>
      <c r="E143" s="12">
        <f>IF($B143="","",$B143+7)</f>
      </c>
      <c r="F143" s="12">
        <f>IF($B143="","",$B143+14)</f>
      </c>
      <c r="G143" s="12">
        <f>IF($B143="","",$B143+30)</f>
      </c>
      <c r="H143" s="5"/>
    </row>
    <row r="144">
      <c r="A144" s="2"/>
      <c r="B144" s="3"/>
      <c r="C144" s="3">
        <f>IF($B144="","",$B144+1)</f>
      </c>
      <c r="D144" s="3">
        <f>IF($B144="","",$B144+3)</f>
      </c>
      <c r="E144" s="3">
        <f>IF($B144="","",$B144+7)</f>
      </c>
      <c r="F144" s="3">
        <f>IF($B144="","",$B144+14)</f>
      </c>
      <c r="G144" s="3">
        <f>IF($B144="","",$B144+30)</f>
      </c>
      <c r="H144" s="2"/>
    </row>
    <row r="145">
      <c r="A145" s="5"/>
      <c r="B145" s="12"/>
      <c r="C145" s="12">
        <f>IF($B145="","",$B145+1)</f>
      </c>
      <c r="D145" s="12">
        <f>IF($B145="","",$B145+3)</f>
      </c>
      <c r="E145" s="12">
        <f>IF($B145="","",$B145+7)</f>
      </c>
      <c r="F145" s="12">
        <f>IF($B145="","",$B145+14)</f>
      </c>
      <c r="G145" s="12">
        <f>IF($B145="","",$B145+30)</f>
      </c>
      <c r="H145" s="5"/>
    </row>
    <row r="146">
      <c r="A146" s="2"/>
      <c r="B146" s="3"/>
      <c r="C146" s="3">
        <f>IF($B146="","",$B146+1)</f>
      </c>
      <c r="D146" s="3">
        <f>IF($B146="","",$B146+3)</f>
      </c>
      <c r="E146" s="3">
        <f>IF($B146="","",$B146+7)</f>
      </c>
      <c r="F146" s="3">
        <f>IF($B146="","",$B146+14)</f>
      </c>
      <c r="G146" s="3">
        <f>IF($B146="","",$B146+30)</f>
      </c>
      <c r="H146" s="2"/>
    </row>
    <row r="147">
      <c r="A147" s="5"/>
      <c r="B147" s="12"/>
      <c r="C147" s="12">
        <f>IF($B147="","",$B147+1)</f>
      </c>
      <c r="D147" s="12">
        <f>IF($B147="","",$B147+3)</f>
      </c>
      <c r="E147" s="12">
        <f>IF($B147="","",$B147+7)</f>
      </c>
      <c r="F147" s="12">
        <f>IF($B147="","",$B147+14)</f>
      </c>
      <c r="G147" s="12">
        <f>IF($B147="","",$B147+30)</f>
      </c>
      <c r="H147" s="5"/>
    </row>
    <row r="148">
      <c r="A148" s="2"/>
      <c r="B148" s="3"/>
      <c r="C148" s="3">
        <f>IF($B148="","",$B148+1)</f>
      </c>
      <c r="D148" s="3">
        <f>IF($B148="","",$B148+3)</f>
      </c>
      <c r="E148" s="3">
        <f>IF($B148="","",$B148+7)</f>
      </c>
      <c r="F148" s="3">
        <f>IF($B148="","",$B148+14)</f>
      </c>
      <c r="G148" s="3">
        <f>IF($B148="","",$B148+30)</f>
      </c>
      <c r="H148" s="2"/>
    </row>
    <row r="149">
      <c r="A149" s="5"/>
      <c r="B149" s="12"/>
      <c r="C149" s="12">
        <f>IF($B149="","",$B149+1)</f>
      </c>
      <c r="D149" s="12">
        <f>IF($B149="","",$B149+3)</f>
      </c>
      <c r="E149" s="12">
        <f>IF($B149="","",$B149+7)</f>
      </c>
      <c r="F149" s="12">
        <f>IF($B149="","",$B149+14)</f>
      </c>
      <c r="G149" s="12">
        <f>IF($B149="","",$B149+30)</f>
      </c>
      <c r="H149" s="5"/>
    </row>
    <row r="150">
      <c r="A150" s="2"/>
      <c r="B150" s="3"/>
      <c r="C150" s="3">
        <f>IF($B150="","",$B150+1)</f>
      </c>
      <c r="D150" s="3">
        <f>IF($B150="","",$B150+3)</f>
      </c>
      <c r="E150" s="3">
        <f>IF($B150="","",$B150+7)</f>
      </c>
      <c r="F150" s="3">
        <f>IF($B150="","",$B150+14)</f>
      </c>
      <c r="G150" s="3">
        <f>IF($B150="","",$B150+30)</f>
      </c>
      <c r="H150" s="2"/>
    </row>
    <row r="151">
      <c r="A151" s="5"/>
      <c r="B151" s="12"/>
      <c r="C151" s="12">
        <f>IF($B151="","",$B151+1)</f>
      </c>
      <c r="D151" s="12">
        <f>IF($B151="","",$B151+3)</f>
      </c>
      <c r="E151" s="12">
        <f>IF($B151="","",$B151+7)</f>
      </c>
      <c r="F151" s="12">
        <f>IF($B151="","",$B151+14)</f>
      </c>
      <c r="G151" s="12">
        <f>IF($B151="","",$B151+30)</f>
      </c>
      <c r="H151" s="5"/>
    </row>
    <row r="152">
      <c r="A152" s="2"/>
      <c r="B152" s="3"/>
      <c r="C152" s="3">
        <f>IF($B152="","",$B152+1)</f>
      </c>
      <c r="D152" s="3">
        <f>IF($B152="","",$B152+3)</f>
      </c>
      <c r="E152" s="3">
        <f>IF($B152="","",$B152+7)</f>
      </c>
      <c r="F152" s="3">
        <f>IF($B152="","",$B152+14)</f>
      </c>
      <c r="G152" s="3">
        <f>IF($B152="","",$B152+30)</f>
      </c>
      <c r="H152" s="2"/>
    </row>
    <row r="153">
      <c r="A153" s="5"/>
      <c r="B153" s="12"/>
      <c r="C153" s="12">
        <f>IF($B153="","",$B153+1)</f>
      </c>
      <c r="D153" s="12">
        <f>IF($B153="","",$B153+3)</f>
      </c>
      <c r="E153" s="12">
        <f>IF($B153="","",$B153+7)</f>
      </c>
      <c r="F153" s="12">
        <f>IF($B153="","",$B153+14)</f>
      </c>
      <c r="G153" s="12">
        <f>IF($B153="","",$B153+30)</f>
      </c>
      <c r="H153" s="5"/>
    </row>
    <row r="154">
      <c r="A154" s="2"/>
      <c r="B154" s="3"/>
      <c r="C154" s="3">
        <f>IF($B154="","",$B154+1)</f>
      </c>
      <c r="D154" s="3">
        <f>IF($B154="","",$B154+3)</f>
      </c>
      <c r="E154" s="3">
        <f>IF($B154="","",$B154+7)</f>
      </c>
      <c r="F154" s="3">
        <f>IF($B154="","",$B154+14)</f>
      </c>
      <c r="G154" s="3">
        <f>IF($B154="","",$B154+30)</f>
      </c>
      <c r="H154" s="2"/>
    </row>
    <row r="155">
      <c r="A155" s="5"/>
      <c r="B155" s="12"/>
      <c r="C155" s="12">
        <f>IF($B155="","",$B155+1)</f>
      </c>
      <c r="D155" s="12">
        <f>IF($B155="","",$B155+3)</f>
      </c>
      <c r="E155" s="12">
        <f>IF($B155="","",$B155+7)</f>
      </c>
      <c r="F155" s="12">
        <f>IF($B155="","",$B155+14)</f>
      </c>
      <c r="G155" s="12">
        <f>IF($B155="","",$B155+30)</f>
      </c>
      <c r="H155" s="5"/>
    </row>
    <row r="156">
      <c r="A156" s="2"/>
      <c r="B156" s="3"/>
      <c r="C156" s="3">
        <f>IF($B156="","",$B156+1)</f>
      </c>
      <c r="D156" s="3">
        <f>IF($B156="","",$B156+3)</f>
      </c>
      <c r="E156" s="3">
        <f>IF($B156="","",$B156+7)</f>
      </c>
      <c r="F156" s="3">
        <f>IF($B156="","",$B156+14)</f>
      </c>
      <c r="G156" s="3">
        <f>IF($B156="","",$B156+30)</f>
      </c>
      <c r="H156" s="2"/>
    </row>
    <row r="157">
      <c r="A157" s="5"/>
      <c r="B157" s="12"/>
      <c r="C157" s="12">
        <f>IF($B157="","",$B157+1)</f>
      </c>
      <c r="D157" s="12">
        <f>IF($B157="","",$B157+3)</f>
      </c>
      <c r="E157" s="12">
        <f>IF($B157="","",$B157+7)</f>
      </c>
      <c r="F157" s="12">
        <f>IF($B157="","",$B157+14)</f>
      </c>
      <c r="G157" s="12">
        <f>IF($B157="","",$B157+30)</f>
      </c>
      <c r="H157" s="5"/>
    </row>
    <row r="158">
      <c r="A158" s="2"/>
      <c r="B158" s="3"/>
      <c r="C158" s="3">
        <f>IF($B158="","",$B158+1)</f>
      </c>
      <c r="D158" s="3">
        <f>IF($B158="","",$B158+3)</f>
      </c>
      <c r="E158" s="3">
        <f>IF($B158="","",$B158+7)</f>
      </c>
      <c r="F158" s="3">
        <f>IF($B158="","",$B158+14)</f>
      </c>
      <c r="G158" s="3">
        <f>IF($B158="","",$B158+30)</f>
      </c>
      <c r="H158" s="2"/>
    </row>
    <row r="159">
      <c r="A159" s="5"/>
      <c r="B159" s="12"/>
      <c r="C159" s="12">
        <f>IF($B159="","",$B159+1)</f>
      </c>
      <c r="D159" s="12">
        <f>IF($B159="","",$B159+3)</f>
      </c>
      <c r="E159" s="12">
        <f>IF($B159="","",$B159+7)</f>
      </c>
      <c r="F159" s="12">
        <f>IF($B159="","",$B159+14)</f>
      </c>
      <c r="G159" s="12">
        <f>IF($B159="","",$B159+30)</f>
      </c>
      <c r="H159" s="5"/>
    </row>
    <row r="160">
      <c r="A160" s="2"/>
      <c r="B160" s="3"/>
      <c r="C160" s="3">
        <f>IF($B160="","",$B160+1)</f>
      </c>
      <c r="D160" s="3">
        <f>IF($B160="","",$B160+3)</f>
      </c>
      <c r="E160" s="3">
        <f>IF($B160="","",$B160+7)</f>
      </c>
      <c r="F160" s="3">
        <f>IF($B160="","",$B160+14)</f>
      </c>
      <c r="G160" s="3">
        <f>IF($B160="","",$B160+30)</f>
      </c>
      <c r="H160" s="2"/>
    </row>
    <row r="161">
      <c r="A161" s="5"/>
      <c r="B161" s="12"/>
      <c r="C161" s="12">
        <f>IF($B161="","",$B161+1)</f>
      </c>
      <c r="D161" s="12">
        <f>IF($B161="","",$B161+3)</f>
      </c>
      <c r="E161" s="12">
        <f>IF($B161="","",$B161+7)</f>
      </c>
      <c r="F161" s="12">
        <f>IF($B161="","",$B161+14)</f>
      </c>
      <c r="G161" s="12">
        <f>IF($B161="","",$B161+30)</f>
      </c>
      <c r="H161" s="5"/>
    </row>
    <row r="162">
      <c r="A162" s="2"/>
      <c r="B162" s="3"/>
      <c r="C162" s="3">
        <f>IF($B162="","",$B162+1)</f>
      </c>
      <c r="D162" s="3">
        <f>IF($B162="","",$B162+3)</f>
      </c>
      <c r="E162" s="3">
        <f>IF($B162="","",$B162+7)</f>
      </c>
      <c r="F162" s="3">
        <f>IF($B162="","",$B162+14)</f>
      </c>
      <c r="G162" s="3">
        <f>IF($B162="","",$B162+30)</f>
      </c>
      <c r="H162" s="2"/>
    </row>
    <row r="163">
      <c r="A163" s="5"/>
      <c r="B163" s="12"/>
      <c r="C163" s="12">
        <f>IF($B163="","",$B163+1)</f>
      </c>
      <c r="D163" s="12">
        <f>IF($B163="","",$B163+3)</f>
      </c>
      <c r="E163" s="12">
        <f>IF($B163="","",$B163+7)</f>
      </c>
      <c r="F163" s="12">
        <f>IF($B163="","",$B163+14)</f>
      </c>
      <c r="G163" s="12">
        <f>IF($B163="","",$B163+30)</f>
      </c>
      <c r="H163" s="5"/>
    </row>
    <row r="164">
      <c r="A164" s="2"/>
      <c r="B164" s="3"/>
      <c r="C164" s="3">
        <f>IF($B164="","",$B164+1)</f>
      </c>
      <c r="D164" s="3">
        <f>IF($B164="","",$B164+3)</f>
      </c>
      <c r="E164" s="3">
        <f>IF($B164="","",$B164+7)</f>
      </c>
      <c r="F164" s="3">
        <f>IF($B164="","",$B164+14)</f>
      </c>
      <c r="G164" s="3">
        <f>IF($B164="","",$B164+30)</f>
      </c>
      <c r="H164" s="2"/>
    </row>
    <row r="165">
      <c r="A165" s="5"/>
      <c r="B165" s="12"/>
      <c r="C165" s="12">
        <f>IF($B165="","",$B165+1)</f>
      </c>
      <c r="D165" s="12">
        <f>IF($B165="","",$B165+3)</f>
      </c>
      <c r="E165" s="12">
        <f>IF($B165="","",$B165+7)</f>
      </c>
      <c r="F165" s="12">
        <f>IF($B165="","",$B165+14)</f>
      </c>
      <c r="G165" s="12">
        <f>IF($B165="","",$B165+30)</f>
      </c>
      <c r="H165" s="5"/>
    </row>
    <row r="166">
      <c r="A166" s="2"/>
      <c r="B166" s="3"/>
      <c r="C166" s="3">
        <f>IF($B166="","",$B166+1)</f>
      </c>
      <c r="D166" s="3">
        <f>IF($B166="","",$B166+3)</f>
      </c>
      <c r="E166" s="3">
        <f>IF($B166="","",$B166+7)</f>
      </c>
      <c r="F166" s="3">
        <f>IF($B166="","",$B166+14)</f>
      </c>
      <c r="G166" s="3">
        <f>IF($B166="","",$B166+30)</f>
      </c>
      <c r="H166" s="2"/>
    </row>
    <row r="167">
      <c r="A167" s="5"/>
      <c r="B167" s="12"/>
      <c r="C167" s="12">
        <f>IF($B167="","",$B167+1)</f>
      </c>
      <c r="D167" s="12">
        <f>IF($B167="","",$B167+3)</f>
      </c>
      <c r="E167" s="12">
        <f>IF($B167="","",$B167+7)</f>
      </c>
      <c r="F167" s="12">
        <f>IF($B167="","",$B167+14)</f>
      </c>
      <c r="G167" s="12">
        <f>IF($B167="","",$B167+30)</f>
      </c>
      <c r="H167" s="5"/>
    </row>
    <row r="168">
      <c r="A168" s="2"/>
      <c r="B168" s="3"/>
      <c r="C168" s="3">
        <f>IF($B168="","",$B168+1)</f>
      </c>
      <c r="D168" s="3">
        <f>IF($B168="","",$B168+3)</f>
      </c>
      <c r="E168" s="3">
        <f>IF($B168="","",$B168+7)</f>
      </c>
      <c r="F168" s="3">
        <f>IF($B168="","",$B168+14)</f>
      </c>
      <c r="G168" s="3">
        <f>IF($B168="","",$B168+30)</f>
      </c>
      <c r="H168" s="2"/>
    </row>
    <row r="169">
      <c r="A169" s="5"/>
      <c r="B169" s="12"/>
      <c r="C169" s="12">
        <f>IF($B169="","",$B169+1)</f>
      </c>
      <c r="D169" s="12">
        <f>IF($B169="","",$B169+3)</f>
      </c>
      <c r="E169" s="12">
        <f>IF($B169="","",$B169+7)</f>
      </c>
      <c r="F169" s="12">
        <f>IF($B169="","",$B169+14)</f>
      </c>
      <c r="G169" s="12">
        <f>IF($B169="","",$B169+30)</f>
      </c>
      <c r="H169" s="5"/>
    </row>
    <row r="170">
      <c r="A170" s="2"/>
      <c r="B170" s="3"/>
      <c r="C170" s="3">
        <f>IF($B170="","",$B170+1)</f>
      </c>
      <c r="D170" s="3">
        <f>IF($B170="","",$B170+3)</f>
      </c>
      <c r="E170" s="3">
        <f>IF($B170="","",$B170+7)</f>
      </c>
      <c r="F170" s="3">
        <f>IF($B170="","",$B170+14)</f>
      </c>
      <c r="G170" s="3">
        <f>IF($B170="","",$B170+30)</f>
      </c>
      <c r="H170" s="2"/>
    </row>
    <row r="171">
      <c r="A171" s="5"/>
      <c r="B171" s="12"/>
      <c r="C171" s="12">
        <f>IF($B171="","",$B171+1)</f>
      </c>
      <c r="D171" s="12">
        <f>IF($B171="","",$B171+3)</f>
      </c>
      <c r="E171" s="12">
        <f>IF($B171="","",$B171+7)</f>
      </c>
      <c r="F171" s="12">
        <f>IF($B171="","",$B171+14)</f>
      </c>
      <c r="G171" s="12">
        <f>IF($B171="","",$B171+30)</f>
      </c>
      <c r="H171" s="5"/>
    </row>
    <row r="172">
      <c r="A172" s="2"/>
      <c r="B172" s="3"/>
      <c r="C172" s="3">
        <f>IF($B172="","",$B172+1)</f>
      </c>
      <c r="D172" s="3">
        <f>IF($B172="","",$B172+3)</f>
      </c>
      <c r="E172" s="3">
        <f>IF($B172="","",$B172+7)</f>
      </c>
      <c r="F172" s="3">
        <f>IF($B172="","",$B172+14)</f>
      </c>
      <c r="G172" s="3">
        <f>IF($B172="","",$B172+30)</f>
      </c>
      <c r="H172" s="2"/>
    </row>
    <row r="173">
      <c r="A173" s="5"/>
      <c r="B173" s="12"/>
      <c r="C173" s="12">
        <f>IF($B173="","",$B173+1)</f>
      </c>
      <c r="D173" s="12">
        <f>IF($B173="","",$B173+3)</f>
      </c>
      <c r="E173" s="12">
        <f>IF($B173="","",$B173+7)</f>
      </c>
      <c r="F173" s="12">
        <f>IF($B173="","",$B173+14)</f>
      </c>
      <c r="G173" s="12">
        <f>IF($B173="","",$B173+30)</f>
      </c>
      <c r="H173" s="5"/>
    </row>
    <row r="174">
      <c r="A174" s="2"/>
      <c r="B174" s="3"/>
      <c r="C174" s="3">
        <f>IF($B174="","",$B174+1)</f>
      </c>
      <c r="D174" s="3">
        <f>IF($B174="","",$B174+3)</f>
      </c>
      <c r="E174" s="3">
        <f>IF($B174="","",$B174+7)</f>
      </c>
      <c r="F174" s="3">
        <f>IF($B174="","",$B174+14)</f>
      </c>
      <c r="G174" s="3">
        <f>IF($B174="","",$B174+30)</f>
      </c>
      <c r="H174" s="2"/>
    </row>
    <row r="175">
      <c r="A175" s="5"/>
      <c r="B175" s="12"/>
      <c r="C175" s="12">
        <f>IF($B175="","",$B175+1)</f>
      </c>
      <c r="D175" s="12">
        <f>IF($B175="","",$B175+3)</f>
      </c>
      <c r="E175" s="12">
        <f>IF($B175="","",$B175+7)</f>
      </c>
      <c r="F175" s="12">
        <f>IF($B175="","",$B175+14)</f>
      </c>
      <c r="G175" s="12">
        <f>IF($B175="","",$B175+30)</f>
      </c>
      <c r="H175" s="5"/>
    </row>
    <row r="176">
      <c r="A176" s="2"/>
      <c r="B176" s="3"/>
      <c r="C176" s="3">
        <f>IF($B176="","",$B176+1)</f>
      </c>
      <c r="D176" s="3">
        <f>IF($B176="","",$B176+3)</f>
      </c>
      <c r="E176" s="3">
        <f>IF($B176="","",$B176+7)</f>
      </c>
      <c r="F176" s="3">
        <f>IF($B176="","",$B176+14)</f>
      </c>
      <c r="G176" s="3">
        <f>IF($B176="","",$B176+30)</f>
      </c>
      <c r="H176" s="2"/>
    </row>
    <row r="177">
      <c r="A177" s="5"/>
      <c r="B177" s="12"/>
      <c r="C177" s="12">
        <f>IF($B177="","",$B177+1)</f>
      </c>
      <c r="D177" s="12">
        <f>IF($B177="","",$B177+3)</f>
      </c>
      <c r="E177" s="12">
        <f>IF($B177="","",$B177+7)</f>
      </c>
      <c r="F177" s="12">
        <f>IF($B177="","",$B177+14)</f>
      </c>
      <c r="G177" s="12">
        <f>IF($B177="","",$B177+30)</f>
      </c>
      <c r="H177" s="5"/>
    </row>
    <row r="178">
      <c r="A178" s="2"/>
      <c r="B178" s="3"/>
      <c r="C178" s="3">
        <f>IF($B178="","",$B178+1)</f>
      </c>
      <c r="D178" s="3">
        <f>IF($B178="","",$B178+3)</f>
      </c>
      <c r="E178" s="3">
        <f>IF($B178="","",$B178+7)</f>
      </c>
      <c r="F178" s="3">
        <f>IF($B178="","",$B178+14)</f>
      </c>
      <c r="G178" s="3">
        <f>IF($B178="","",$B178+30)</f>
      </c>
      <c r="H178" s="2"/>
    </row>
    <row r="179">
      <c r="A179" s="5"/>
      <c r="B179" s="12"/>
      <c r="C179" s="12">
        <f>IF($B179="","",$B179+1)</f>
      </c>
      <c r="D179" s="12">
        <f>IF($B179="","",$B179+3)</f>
      </c>
      <c r="E179" s="12">
        <f>IF($B179="","",$B179+7)</f>
      </c>
      <c r="F179" s="12">
        <f>IF($B179="","",$B179+14)</f>
      </c>
      <c r="G179" s="12">
        <f>IF($B179="","",$B179+30)</f>
      </c>
      <c r="H179" s="5"/>
    </row>
    <row r="180">
      <c r="A180" s="2"/>
      <c r="B180" s="3"/>
      <c r="C180" s="3">
        <f>IF($B180="","",$B180+1)</f>
      </c>
      <c r="D180" s="3">
        <f>IF($B180="","",$B180+3)</f>
      </c>
      <c r="E180" s="3">
        <f>IF($B180="","",$B180+7)</f>
      </c>
      <c r="F180" s="3">
        <f>IF($B180="","",$B180+14)</f>
      </c>
      <c r="G180" s="3">
        <f>IF($B180="","",$B180+30)</f>
      </c>
      <c r="H180" s="2"/>
    </row>
    <row r="181">
      <c r="A181" s="5"/>
      <c r="B181" s="12"/>
      <c r="C181" s="12">
        <f>IF($B181="","",$B181+1)</f>
      </c>
      <c r="D181" s="12">
        <f>IF($B181="","",$B181+3)</f>
      </c>
      <c r="E181" s="12">
        <f>IF($B181="","",$B181+7)</f>
      </c>
      <c r="F181" s="12">
        <f>IF($B181="","",$B181+14)</f>
      </c>
      <c r="G181" s="12">
        <f>IF($B181="","",$B181+30)</f>
      </c>
      <c r="H181" s="5"/>
    </row>
    <row r="182">
      <c r="A182" s="2"/>
      <c r="B182" s="3"/>
      <c r="C182" s="3">
        <f>IF($B182="","",$B182+1)</f>
      </c>
      <c r="D182" s="3">
        <f>IF($B182="","",$B182+3)</f>
      </c>
      <c r="E182" s="3">
        <f>IF($B182="","",$B182+7)</f>
      </c>
      <c r="F182" s="3">
        <f>IF($B182="","",$B182+14)</f>
      </c>
      <c r="G182" s="3">
        <f>IF($B182="","",$B182+30)</f>
      </c>
      <c r="H182" s="2"/>
    </row>
    <row r="183">
      <c r="A183" s="5"/>
      <c r="B183" s="12"/>
      <c r="C183" s="12">
        <f>IF($B183="","",$B183+1)</f>
      </c>
      <c r="D183" s="12">
        <f>IF($B183="","",$B183+3)</f>
      </c>
      <c r="E183" s="12">
        <f>IF($B183="","",$B183+7)</f>
      </c>
      <c r="F183" s="12">
        <f>IF($B183="","",$B183+14)</f>
      </c>
      <c r="G183" s="12">
        <f>IF($B183="","",$B183+30)</f>
      </c>
      <c r="H183" s="5"/>
    </row>
    <row r="184">
      <c r="A184" s="2"/>
      <c r="B184" s="3"/>
      <c r="C184" s="3">
        <f>IF($B184="","",$B184+1)</f>
      </c>
      <c r="D184" s="3">
        <f>IF($B184="","",$B184+3)</f>
      </c>
      <c r="E184" s="3">
        <f>IF($B184="","",$B184+7)</f>
      </c>
      <c r="F184" s="3">
        <f>IF($B184="","",$B184+14)</f>
      </c>
      <c r="G184" s="3">
        <f>IF($B184="","",$B184+30)</f>
      </c>
      <c r="H184" s="2"/>
    </row>
    <row r="185">
      <c r="A185" s="5"/>
      <c r="B185" s="12"/>
      <c r="C185" s="12">
        <f>IF($B185="","",$B185+1)</f>
      </c>
      <c r="D185" s="12">
        <f>IF($B185="","",$B185+3)</f>
      </c>
      <c r="E185" s="12">
        <f>IF($B185="","",$B185+7)</f>
      </c>
      <c r="F185" s="12">
        <f>IF($B185="","",$B185+14)</f>
      </c>
      <c r="G185" s="12">
        <f>IF($B185="","",$B185+30)</f>
      </c>
      <c r="H185" s="5"/>
    </row>
    <row r="186">
      <c r="A186" s="2"/>
      <c r="B186" s="3"/>
      <c r="C186" s="3">
        <f>IF($B186="","",$B186+1)</f>
      </c>
      <c r="D186" s="3">
        <f>IF($B186="","",$B186+3)</f>
      </c>
      <c r="E186" s="3">
        <f>IF($B186="","",$B186+7)</f>
      </c>
      <c r="F186" s="3">
        <f>IF($B186="","",$B186+14)</f>
      </c>
      <c r="G186" s="3">
        <f>IF($B186="","",$B186+30)</f>
      </c>
      <c r="H186" s="2"/>
    </row>
    <row r="187">
      <c r="A187" s="5"/>
      <c r="B187" s="12"/>
      <c r="C187" s="12">
        <f>IF($B187="","",$B187+1)</f>
      </c>
      <c r="D187" s="12">
        <f>IF($B187="","",$B187+3)</f>
      </c>
      <c r="E187" s="12">
        <f>IF($B187="","",$B187+7)</f>
      </c>
      <c r="F187" s="12">
        <f>IF($B187="","",$B187+14)</f>
      </c>
      <c r="G187" s="12">
        <f>IF($B187="","",$B187+30)</f>
      </c>
      <c r="H187" s="5"/>
    </row>
    <row r="188">
      <c r="A188" s="2"/>
      <c r="B188" s="3"/>
      <c r="C188" s="3">
        <f>IF($B188="","",$B188+1)</f>
      </c>
      <c r="D188" s="3">
        <f>IF($B188="","",$B188+3)</f>
      </c>
      <c r="E188" s="3">
        <f>IF($B188="","",$B188+7)</f>
      </c>
      <c r="F188" s="3">
        <f>IF($B188="","",$B188+14)</f>
      </c>
      <c r="G188" s="3">
        <f>IF($B188="","",$B188+30)</f>
      </c>
      <c r="H188" s="2"/>
    </row>
    <row r="189">
      <c r="A189" s="5"/>
      <c r="B189" s="12"/>
      <c r="C189" s="12">
        <f>IF($B189="","",$B189+1)</f>
      </c>
      <c r="D189" s="12">
        <f>IF($B189="","",$B189+3)</f>
      </c>
      <c r="E189" s="12">
        <f>IF($B189="","",$B189+7)</f>
      </c>
      <c r="F189" s="12">
        <f>IF($B189="","",$B189+14)</f>
      </c>
      <c r="G189" s="12">
        <f>IF($B189="","",$B189+30)</f>
      </c>
      <c r="H189" s="5"/>
    </row>
    <row r="190">
      <c r="A190" s="2"/>
      <c r="B190" s="3"/>
      <c r="C190" s="3">
        <f>IF($B190="","",$B190+1)</f>
      </c>
      <c r="D190" s="3">
        <f>IF($B190="","",$B190+3)</f>
      </c>
      <c r="E190" s="3">
        <f>IF($B190="","",$B190+7)</f>
      </c>
      <c r="F190" s="3">
        <f>IF($B190="","",$B190+14)</f>
      </c>
      <c r="G190" s="3">
        <f>IF($B190="","",$B190+30)</f>
      </c>
      <c r="H190" s="2"/>
    </row>
    <row r="191">
      <c r="A191" s="5"/>
      <c r="B191" s="12"/>
      <c r="C191" s="12">
        <f>IF($B191="","",$B191+1)</f>
      </c>
      <c r="D191" s="12">
        <f>IF($B191="","",$B191+3)</f>
      </c>
      <c r="E191" s="12">
        <f>IF($B191="","",$B191+7)</f>
      </c>
      <c r="F191" s="12">
        <f>IF($B191="","",$B191+14)</f>
      </c>
      <c r="G191" s="12">
        <f>IF($B191="","",$B191+30)</f>
      </c>
      <c r="H191" s="5"/>
    </row>
    <row r="192">
      <c r="A192" s="2"/>
      <c r="B192" s="3"/>
      <c r="C192" s="3">
        <f>IF($B192="","",$B192+1)</f>
      </c>
      <c r="D192" s="3">
        <f>IF($B192="","",$B192+3)</f>
      </c>
      <c r="E192" s="3">
        <f>IF($B192="","",$B192+7)</f>
      </c>
      <c r="F192" s="3">
        <f>IF($B192="","",$B192+14)</f>
      </c>
      <c r="G192" s="3">
        <f>IF($B192="","",$B192+30)</f>
      </c>
      <c r="H192" s="2"/>
    </row>
    <row r="193">
      <c r="A193" s="5"/>
      <c r="B193" s="12"/>
      <c r="C193" s="12">
        <f>IF($B193="","",$B193+1)</f>
      </c>
      <c r="D193" s="12">
        <f>IF($B193="","",$B193+3)</f>
      </c>
      <c r="E193" s="12">
        <f>IF($B193="","",$B193+7)</f>
      </c>
      <c r="F193" s="12">
        <f>IF($B193="","",$B193+14)</f>
      </c>
      <c r="G193" s="12">
        <f>IF($B193="","",$B193+30)</f>
      </c>
      <c r="H193" s="5"/>
    </row>
    <row r="194">
      <c r="A194" s="2"/>
      <c r="B194" s="3"/>
      <c r="C194" s="3">
        <f>IF($B194="","",$B194+1)</f>
      </c>
      <c r="D194" s="3">
        <f>IF($B194="","",$B194+3)</f>
      </c>
      <c r="E194" s="3">
        <f>IF($B194="","",$B194+7)</f>
      </c>
      <c r="F194" s="3">
        <f>IF($B194="","",$B194+14)</f>
      </c>
      <c r="G194" s="3">
        <f>IF($B194="","",$B194+30)</f>
      </c>
      <c r="H194" s="2"/>
    </row>
    <row r="195">
      <c r="A195" s="5"/>
      <c r="B195" s="12"/>
      <c r="C195" s="12">
        <f>IF($B195="","",$B195+1)</f>
      </c>
      <c r="D195" s="12">
        <f>IF($B195="","",$B195+3)</f>
      </c>
      <c r="E195" s="12">
        <f>IF($B195="","",$B195+7)</f>
      </c>
      <c r="F195" s="12">
        <f>IF($B195="","",$B195+14)</f>
      </c>
      <c r="G195" s="12">
        <f>IF($B195="","",$B195+30)</f>
      </c>
      <c r="H195" s="5"/>
    </row>
    <row r="196">
      <c r="A196" s="2"/>
      <c r="B196" s="3"/>
      <c r="C196" s="3">
        <f>IF($B196="","",$B196+1)</f>
      </c>
      <c r="D196" s="3">
        <f>IF($B196="","",$B196+3)</f>
      </c>
      <c r="E196" s="3">
        <f>IF($B196="","",$B196+7)</f>
      </c>
      <c r="F196" s="3">
        <f>IF($B196="","",$B196+14)</f>
      </c>
      <c r="G196" s="3">
        <f>IF($B196="","",$B196+30)</f>
      </c>
      <c r="H196" s="2"/>
    </row>
    <row r="197">
      <c r="A197" s="5"/>
      <c r="B197" s="12"/>
      <c r="C197" s="12">
        <f>IF($B197="","",$B197+1)</f>
      </c>
      <c r="D197" s="12">
        <f>IF($B197="","",$B197+3)</f>
      </c>
      <c r="E197" s="12">
        <f>IF($B197="","",$B197+7)</f>
      </c>
      <c r="F197" s="12">
        <f>IF($B197="","",$B197+14)</f>
      </c>
      <c r="G197" s="12">
        <f>IF($B197="","",$B197+30)</f>
      </c>
      <c r="H197" s="5"/>
    </row>
    <row r="198">
      <c r="A198" s="2"/>
      <c r="B198" s="3"/>
      <c r="C198" s="3">
        <f>IF($B198="","",$B198+1)</f>
      </c>
      <c r="D198" s="3">
        <f>IF($B198="","",$B198+3)</f>
      </c>
      <c r="E198" s="3">
        <f>IF($B198="","",$B198+7)</f>
      </c>
      <c r="F198" s="3">
        <f>IF($B198="","",$B198+14)</f>
      </c>
      <c r="G198" s="3">
        <f>IF($B198="","",$B198+30)</f>
      </c>
      <c r="H198" s="2"/>
    </row>
    <row r="199">
      <c r="A199" s="5"/>
      <c r="B199" s="12"/>
      <c r="C199" s="12">
        <f>IF($B199="","",$B199+1)</f>
      </c>
      <c r="D199" s="12">
        <f>IF($B199="","",$B199+3)</f>
      </c>
      <c r="E199" s="12">
        <f>IF($B199="","",$B199+7)</f>
      </c>
      <c r="F199" s="12">
        <f>IF($B199="","",$B199+14)</f>
      </c>
      <c r="G199" s="12">
        <f>IF($B199="","",$B199+30)</f>
      </c>
      <c r="H199" s="5"/>
    </row>
    <row r="200">
      <c r="A200" s="2"/>
      <c r="B200" s="3"/>
      <c r="C200" s="3">
        <f>IF($B200="","",$B200+1)</f>
      </c>
      <c r="D200" s="3">
        <f>IF($B200="","",$B200+3)</f>
      </c>
      <c r="E200" s="3">
        <f>IF($B200="","",$B200+7)</f>
      </c>
      <c r="F200" s="3">
        <f>IF($B200="","",$B200+14)</f>
      </c>
      <c r="G200" s="3">
        <f>IF($B200="","",$B200+30)</f>
      </c>
      <c r="H200" s="2"/>
    </row>
    <row r="201">
      <c r="A201" s="5"/>
      <c r="B201" s="12"/>
      <c r="C201" s="12">
        <f>IF($B201="","",$B201+1)</f>
      </c>
      <c r="D201" s="12">
        <f>IF($B201="","",$B201+3)</f>
      </c>
      <c r="E201" s="12">
        <f>IF($B201="","",$B201+7)</f>
      </c>
      <c r="F201" s="12">
        <f>IF($B201="","",$B201+14)</f>
      </c>
      <c r="G201" s="12">
        <f>IF($B201="","",$B201+30)</f>
      </c>
      <c r="H201" s="5"/>
    </row>
  </sheetData>
  <autoFilter ref="A1:H201"/>
  <pageMargins left="0.5" right="0.5" top="0.5" bottom="0.5" header="0.3" footer="0.3"/>
</worksheet>
</file>

<file path=xl/worksheets/sheet7.xml><?xml version="1.0" encoding="utf-8"?>
<worksheet xmlns="http://schemas.openxmlformats.org/spreadsheetml/2006/main">
  <dimension ref="A1:G28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40" customWidth="1"/>
    <col min="3" max="3" width="10" customWidth="1"/>
    <col min="4" max="4" width="14" customWidth="1"/>
    <col min="5" max="5" width="12" customWidth="1"/>
    <col min="6" max="6" width="48" customWidth="1"/>
    <col min="7" max="7" width="7" customWidth="1"/>
  </cols>
  <sheetData>
    <row r="1" ht="30" customHeight="1">
      <c r="A1" s="1" t="inlineStr">
        <is>
          <t xml:space="preserve">#</t>
        </is>
      </c>
      <c r="B1" s="1" t="inlineStr">
        <is>
          <t xml:space="preserve">Design</t>
        </is>
      </c>
      <c r="C1" s="1" t="inlineStr">
        <is>
          <t xml:space="preserve">Due week</t>
        </is>
      </c>
      <c r="D1" s="1" t="inlineStr">
        <is>
          <t xml:space="preserve">Date done</t>
        </is>
      </c>
      <c r="E1" s="1" t="inlineStr">
        <is>
          <t xml:space="preserve">Minutes</t>
        </is>
      </c>
      <c r="F1" s="1" t="inlineStr">
        <is>
          <t xml:space="preserve">The trade-off I named out loud</t>
        </is>
      </c>
      <c r="G1" s="1" t="inlineStr">
        <is>
          <t xml:space="preserve">Done</t>
        </is>
      </c>
    </row>
    <row r="2" ht="22" customHeight="1">
      <c r="A2" s="11" t="inlineStr">
        <is>
          <t xml:space="preserve">SD 1</t>
        </is>
      </c>
      <c r="B2" s="2" t="inlineStr">
        <is>
          <t xml:space="preserve">URL shortener</t>
        </is>
      </c>
      <c r="C2" s="11">
        <v>12</v>
      </c>
      <c r="D2" s="3"/>
      <c r="E2" s="11"/>
      <c r="F2" s="2"/>
      <c r="G2" s="6"/>
    </row>
    <row r="3" ht="22" customHeight="1">
      <c r="A3" s="13" t="inlineStr">
        <is>
          <t xml:space="preserve">SD 2</t>
        </is>
      </c>
      <c r="B3" s="5" t="inlineStr">
        <is>
          <t xml:space="preserve">Rate limiter</t>
        </is>
      </c>
      <c r="C3" s="13">
        <v>12</v>
      </c>
      <c r="D3" s="12"/>
      <c r="E3" s="13"/>
      <c r="F3" s="5"/>
      <c r="G3" s="14"/>
    </row>
    <row r="4" ht="22" customHeight="1">
      <c r="A4" s="11" t="inlineStr">
        <is>
          <t xml:space="preserve">SD 3</t>
        </is>
      </c>
      <c r="B4" s="2" t="inlineStr">
        <is>
          <t xml:space="preserve">Notification service</t>
        </is>
      </c>
      <c r="C4" s="11">
        <v>12</v>
      </c>
      <c r="D4" s="3"/>
      <c r="E4" s="11"/>
      <c r="F4" s="2"/>
      <c r="G4" s="6"/>
    </row>
    <row r="5" ht="22" customHeight="1">
      <c r="A5" s="13" t="inlineStr">
        <is>
          <t xml:space="preserve">SD 4</t>
        </is>
      </c>
      <c r="B5" s="5" t="inlineStr">
        <is>
          <t xml:space="preserve">Distributed job queue (your project)</t>
        </is>
      </c>
      <c r="C5" s="13">
        <v>15</v>
      </c>
      <c r="D5" s="12"/>
      <c r="E5" s="13"/>
      <c r="F5" s="5"/>
      <c r="G5" s="14"/>
    </row>
    <row r="6" ht="22" customHeight="1">
      <c r="A6" s="11" t="inlineStr">
        <is>
          <t xml:space="preserve">SD 5</t>
        </is>
      </c>
      <c r="B6" s="2" t="inlineStr">
        <is>
          <t xml:space="preserve">File storage (Dropbox)</t>
        </is>
      </c>
      <c r="C6" s="11">
        <v>15</v>
      </c>
      <c r="D6" s="3"/>
      <c r="E6" s="11"/>
      <c r="F6" s="2"/>
      <c r="G6" s="6"/>
    </row>
    <row r="7" ht="22" customHeight="1">
      <c r="A7" s="13" t="inlineStr">
        <is>
          <t xml:space="preserve">SD 6</t>
        </is>
      </c>
      <c r="B7" s="5" t="inlineStr">
        <is>
          <t xml:space="preserve">News feed (Twitter/Instagram)</t>
        </is>
      </c>
      <c r="C7" s="13">
        <v>20</v>
      </c>
      <c r="D7" s="12"/>
      <c r="E7" s="13"/>
      <c r="F7" s="5"/>
      <c r="G7" s="14"/>
    </row>
    <row r="8" ht="22" customHeight="1">
      <c r="A8" s="11" t="inlineStr">
        <is>
          <t xml:space="preserve">SD 7</t>
        </is>
      </c>
      <c r="B8" s="2" t="inlineStr">
        <is>
          <t xml:space="preserve">Ecommerce order processing</t>
        </is>
      </c>
      <c r="C8" s="11">
        <v>20</v>
      </c>
      <c r="D8" s="3"/>
      <c r="E8" s="11"/>
      <c r="F8" s="2"/>
      <c r="G8" s="6"/>
    </row>
    <row r="9" ht="22" customHeight="1">
      <c r="A9" s="13" t="inlineStr">
        <is>
          <t xml:space="preserve">SD 8</t>
        </is>
      </c>
      <c r="B9" s="5" t="inlineStr">
        <is>
          <t xml:space="preserve">Payment workflow</t>
        </is>
      </c>
      <c r="C9" s="13">
        <v>20</v>
      </c>
      <c r="D9" s="12"/>
      <c r="E9" s="13"/>
      <c r="F9" s="5"/>
      <c r="G9" s="14"/>
    </row>
    <row r="10" ht="22" customHeight="1">
      <c r="A10" s="11" t="inlineStr">
        <is>
          <t xml:space="preserve">SD 9</t>
        </is>
      </c>
      <c r="B10" s="2" t="inlineStr">
        <is>
          <t xml:space="preserve">Chat system (WhatsApp)</t>
        </is>
      </c>
      <c r="C10" s="11">
        <v>20</v>
      </c>
      <c r="D10" s="3"/>
      <c r="E10" s="11"/>
      <c r="F10" s="2"/>
      <c r="G10" s="6"/>
    </row>
    <row r="11" ht="22" customHeight="1">
      <c r="A11" s="13" t="inlineStr">
        <is>
          <t xml:space="preserve">SD 10</t>
        </is>
      </c>
      <c r="B11" s="5" t="inlineStr">
        <is>
          <t xml:space="preserve">Web crawler</t>
        </is>
      </c>
      <c r="C11" s="13">
        <v>21</v>
      </c>
      <c r="D11" s="12"/>
      <c r="E11" s="13"/>
      <c r="F11" s="5"/>
      <c r="G11" s="14"/>
    </row>
    <row r="12" ht="22" customHeight="1">
      <c r="A12" s="11" t="inlineStr">
        <is>
          <t xml:space="preserve">SD 11</t>
        </is>
      </c>
      <c r="B12" s="2" t="inlineStr">
        <is>
          <t xml:space="preserve">Video platform (YouTube)</t>
        </is>
      </c>
      <c r="C12" s="11">
        <v>22</v>
      </c>
      <c r="D12" s="3"/>
      <c r="E12" s="11"/>
      <c r="F12" s="2"/>
      <c r="G12" s="6"/>
    </row>
    <row r="13" ht="22" customHeight="1">
      <c r="A13" s="13" t="inlineStr">
        <is>
          <t xml:space="preserve">SD 12</t>
        </is>
      </c>
      <c r="B13" s="5" t="inlineStr">
        <is>
          <t xml:space="preserve">Typeahead / autocomplete</t>
        </is>
      </c>
      <c r="C13" s="13">
        <v>22</v>
      </c>
      <c r="D13" s="12"/>
      <c r="E13" s="13"/>
      <c r="F13" s="5"/>
      <c r="G13" s="14"/>
    </row>
    <row r="14" ht="22" customHeight="1">
      <c r="A14" s="11" t="inlineStr">
        <is>
          <t xml:space="preserve">SD 13</t>
        </is>
      </c>
      <c r="B14" s="2" t="inlineStr">
        <is>
          <t xml:space="preserve">Google Docs (collaborative editing)</t>
        </is>
      </c>
      <c r="C14" s="11">
        <v>24</v>
      </c>
      <c r="D14" s="3"/>
      <c r="E14" s="11"/>
      <c r="F14" s="2"/>
      <c r="G14" s="6"/>
    </row>
    <row r="15" ht="22" customHeight="1">
      <c r="A15" s="13" t="inlineStr">
        <is>
          <t xml:space="preserve">SD 14</t>
        </is>
      </c>
      <c r="B15" s="5" t="inlineStr">
        <is>
          <t xml:space="preserve">Distributed cache</t>
        </is>
      </c>
      <c r="C15" s="13">
        <v>24</v>
      </c>
      <c r="D15" s="12"/>
      <c r="E15" s="13"/>
      <c r="F15" s="5"/>
      <c r="G15" s="14"/>
    </row>
    <row r="16" ht="22" customHeight="1">
      <c r="A16" s="11" t="inlineStr">
        <is>
          <t xml:space="preserve">SD 15</t>
        </is>
      </c>
      <c r="B16" s="2" t="inlineStr">
        <is>
          <t xml:space="preserve">Ad click aggregation</t>
        </is>
      </c>
      <c r="C16" s="11">
        <v>25</v>
      </c>
      <c r="D16" s="3"/>
      <c r="E16" s="11"/>
      <c r="F16" s="2"/>
      <c r="G16" s="6"/>
    </row>
    <row r="17" ht="22" customHeight="1">
      <c r="A17" s="13" t="inlineStr">
        <is>
          <t xml:space="preserve">SD 16</t>
        </is>
      </c>
      <c r="B17" s="5" t="inlineStr">
        <is>
          <t xml:space="preserve">Metrics and monitoring</t>
        </is>
      </c>
      <c r="C17" s="13">
        <v>26</v>
      </c>
      <c r="D17" s="12"/>
      <c r="E17" s="13"/>
      <c r="F17" s="5"/>
      <c r="G17" s="14"/>
    </row>
    <row r="18" ht="22" customHeight="1">
      <c r="A18" s="11" t="inlineStr">
        <is>
          <t xml:space="preserve">SD 17</t>
        </is>
      </c>
      <c r="B18" s="2" t="inlineStr">
        <is>
          <t xml:space="preserve">Nearby friends / proximity</t>
        </is>
      </c>
      <c r="C18" s="11">
        <v>27</v>
      </c>
      <c r="D18" s="3"/>
      <c r="E18" s="11"/>
      <c r="F18" s="2"/>
      <c r="G18" s="6"/>
    </row>
    <row r="19" ht="22" customHeight="1">
      <c r="A19" s="13" t="inlineStr">
        <is>
          <t xml:space="preserve">SD 18</t>
        </is>
      </c>
      <c r="B19" s="5" t="inlineStr">
        <is>
          <t xml:space="preserve">Object storage (S3-like)</t>
        </is>
      </c>
      <c r="C19" s="13">
        <v>28</v>
      </c>
      <c r="D19" s="12"/>
      <c r="E19" s="13"/>
      <c r="F19" s="5"/>
      <c r="G19" s="14"/>
    </row>
    <row r="20" ht="22" customHeight="1">
      <c r="A20" s="11" t="inlineStr">
        <is>
          <t xml:space="preserve">LLD 1</t>
        </is>
      </c>
      <c r="B20" s="2" t="inlineStr">
        <is>
          <t xml:space="preserve">Parking lot</t>
        </is>
      </c>
      <c r="C20" s="11">
        <v>13</v>
      </c>
      <c r="D20" s="3"/>
      <c r="E20" s="11"/>
      <c r="F20" s="2"/>
      <c r="G20" s="6"/>
    </row>
    <row r="21" ht="22" customHeight="1">
      <c r="A21" s="13" t="inlineStr">
        <is>
          <t xml:space="preserve">LLD 2</t>
        </is>
      </c>
      <c r="B21" s="5" t="inlineStr">
        <is>
          <t xml:space="preserve">Logger</t>
        </is>
      </c>
      <c r="C21" s="13">
        <v>13</v>
      </c>
      <c r="D21" s="12"/>
      <c r="E21" s="13"/>
      <c r="F21" s="5"/>
      <c r="G21" s="14"/>
    </row>
    <row r="22" ht="22" customHeight="1">
      <c r="A22" s="11" t="inlineStr">
        <is>
          <t xml:space="preserve">LLD 3</t>
        </is>
      </c>
      <c r="B22" s="2" t="inlineStr">
        <is>
          <t xml:space="preserve">Elevator</t>
        </is>
      </c>
      <c r="C22" s="11">
        <v>13</v>
      </c>
      <c r="D22" s="3"/>
      <c r="E22" s="11"/>
      <c r="F22" s="2"/>
      <c r="G22" s="6"/>
    </row>
    <row r="23" ht="22" customHeight="1">
      <c r="A23" s="13" t="inlineStr">
        <is>
          <t xml:space="preserve">LLD 4</t>
        </is>
      </c>
      <c r="B23" s="5" t="inlineStr">
        <is>
          <t xml:space="preserve">Rate limiter as classes</t>
        </is>
      </c>
      <c r="C23" s="13">
        <v>14</v>
      </c>
      <c r="D23" s="12"/>
      <c r="E23" s="13"/>
      <c r="F23" s="5"/>
      <c r="G23" s="14"/>
    </row>
    <row r="24" ht="22" customHeight="1">
      <c r="A24" s="11" t="inlineStr">
        <is>
          <t xml:space="preserve">LLD 5</t>
        </is>
      </c>
      <c r="B24" s="2" t="inlineStr">
        <is>
          <t xml:space="preserve">Splitwise / expense sharing</t>
        </is>
      </c>
      <c r="C24" s="11">
        <v>14</v>
      </c>
      <c r="D24" s="3"/>
      <c r="E24" s="11"/>
      <c r="F24" s="2"/>
      <c r="G24" s="6"/>
    </row>
    <row r="25" ht="22" customHeight="1">
      <c r="A25" s="13" t="inlineStr">
        <is>
          <t xml:space="preserve">LLD 6</t>
        </is>
      </c>
      <c r="B25" s="5" t="inlineStr">
        <is>
          <t xml:space="preserve">Task scheduler in C#</t>
        </is>
      </c>
      <c r="C25" s="13">
        <v>22</v>
      </c>
      <c r="D25" s="12"/>
      <c r="E25" s="13"/>
      <c r="F25" s="5"/>
      <c r="G25" s="14"/>
    </row>
    <row r="26" ht="22" customHeight="1">
      <c r="A26" s="11" t="inlineStr">
        <is>
          <t xml:space="preserve">REDO</t>
        </is>
      </c>
      <c r="B26" s="2" t="inlineStr">
        <is>
          <t xml:space="preserve">Re-do SD 1, 2, 3 from scratch and compare</t>
        </is>
      </c>
      <c r="C26" s="11">
        <v>29</v>
      </c>
      <c r="D26" s="3"/>
      <c r="E26" s="11"/>
      <c r="F26" s="2"/>
      <c r="G26" s="6"/>
    </row>
    <row r="27" ht="22" customHeight="1">
      <c r="A27" s="13" t="inlineStr">
        <is>
          <t xml:space="preserve">REDO</t>
        </is>
      </c>
      <c r="B27" s="5" t="inlineStr">
        <is>
          <t xml:space="preserve">Re-do 2 more designs from scratch</t>
        </is>
      </c>
      <c r="C27" s="13">
        <v>30</v>
      </c>
      <c r="D27" s="12"/>
      <c r="E27" s="13"/>
      <c r="F27" s="5"/>
      <c r="G27" s="14"/>
    </row>
    <row r="28" ht="22" customHeight="1">
      <c r="A28" s="11" t="inlineStr">
        <is>
          <t xml:space="preserve">REDO</t>
        </is>
      </c>
      <c r="B28" s="2" t="inlineStr">
        <is>
          <t xml:space="preserve">Re-do 3 more designs from scratch</t>
        </is>
      </c>
      <c r="C28" s="11">
        <v>31</v>
      </c>
      <c r="D28" s="3"/>
      <c r="E28" s="11"/>
      <c r="F28" s="2"/>
      <c r="G28" s="6"/>
    </row>
  </sheetData>
  <autoFilter ref="A1:G28"/>
  <pageMargins left="0.5" right="0.5" top="0.5" bottom="0.5" header="0.3" footer="0.3"/>
</worksheet>
</file>

<file path=xl/worksheets/sheet8.xml><?xml version="1.0" encoding="utf-8"?>
<worksheet xmlns="http://schemas.openxmlformats.org/spreadsheetml/2006/main">
  <dimension ref="A1:S27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8" customWidth="1"/>
    <col min="3" max="3" width="8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</cols>
  <sheetData>
    <row r="1" ht="58" customHeight="1">
      <c r="A1" s="1" t="inlineStr">
        <is>
          <t xml:space="preserve">Story (one per row - target 20)</t>
        </is>
      </c>
      <c r="B1" s="1" t="inlineStr">
        <is>
          <t xml:space="preserve">Written</t>
        </is>
      </c>
      <c r="C1" s="1" t="inlineStr">
        <is>
          <t xml:space="preserve">Recorded</t>
        </is>
      </c>
      <c r="D1" s="1" t="inlineStr">
        <is>
          <t xml:space="preserve">Customer Obsession*</t>
        </is>
      </c>
      <c r="E1" s="1" t="inlineStr">
        <is>
          <t xml:space="preserve">Ownership*</t>
        </is>
      </c>
      <c r="F1" s="1" t="inlineStr">
        <is>
          <t xml:space="preserve">Invent &amp; Simplify</t>
        </is>
      </c>
      <c r="G1" s="1" t="inlineStr">
        <is>
          <t xml:space="preserve">Are Right A Lot</t>
        </is>
      </c>
      <c r="H1" s="1" t="inlineStr">
        <is>
          <t xml:space="preserve">Learn &amp; Be Curious</t>
        </is>
      </c>
      <c r="I1" s="1" t="inlineStr">
        <is>
          <t xml:space="preserve">Hire &amp; Develop</t>
        </is>
      </c>
      <c r="J1" s="1" t="inlineStr">
        <is>
          <t xml:space="preserve">Highest Standards</t>
        </is>
      </c>
      <c r="K1" s="1" t="inlineStr">
        <is>
          <t xml:space="preserve">Think Big</t>
        </is>
      </c>
      <c r="L1" s="1" t="inlineStr">
        <is>
          <t xml:space="preserve">Bias for Action*</t>
        </is>
      </c>
      <c r="M1" s="1" t="inlineStr">
        <is>
          <t xml:space="preserve">Frugality</t>
        </is>
      </c>
      <c r="N1" s="1" t="inlineStr">
        <is>
          <t xml:space="preserve">Earn Trust*</t>
        </is>
      </c>
      <c r="O1" s="1" t="inlineStr">
        <is>
          <t xml:space="preserve">Dive Deep*</t>
        </is>
      </c>
      <c r="P1" s="1" t="inlineStr">
        <is>
          <t xml:space="preserve">Have Backbone*</t>
        </is>
      </c>
      <c r="Q1" s="1" t="inlineStr">
        <is>
          <t xml:space="preserve">Deliver Results*</t>
        </is>
      </c>
      <c r="R1" s="1" t="inlineStr">
        <is>
          <t xml:space="preserve">Best Employer</t>
        </is>
      </c>
      <c r="S1" s="1" t="inlineStr">
        <is>
          <t xml:space="preserve">Broad Responsibility</t>
        </is>
      </c>
    </row>
    <row r="2" ht="26" customHeight="1">
      <c r="A2" s="2" t="inlineStr">
        <is>
          <t xml:space="preserve">Email pipeline 7-10h to 1.5h (~80%) - FLAGSHIP</t>
        </is>
      </c>
      <c r="B2" s="6"/>
      <c r="C2" s="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>
      <c r="A3" s="5" t="inlineStr">
        <is>
          <t xml:space="preserve">FOIA backend features for US federal agencies</t>
        </is>
      </c>
      <c r="B3" s="14"/>
      <c r="C3" s="1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ht="26" customHeight="1">
      <c r="A4" s="2" t="inlineStr">
        <is>
          <t xml:space="preserve">Legacy refactoring / platform modernisation</t>
        </is>
      </c>
      <c r="B4" s="6"/>
      <c r="C4" s="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26" customHeight="1">
      <c r="A5" s="5" t="inlineStr">
        <is>
          <t xml:space="preserve">SQL optimisation on large eDiscovery datasets</t>
        </is>
      </c>
      <c r="B5" s="14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ht="26" customHeight="1">
      <c r="A6" s="2" t="inlineStr">
        <is>
          <t xml:space="preserve">Multilingual content processing</t>
        </is>
      </c>
      <c r="B6" s="6"/>
      <c r="C6" s="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26" customHeight="1">
      <c r="A7" s="5" t="inlineStr">
        <is>
          <t xml:space="preserve">100k+ record datasets at Zibma</t>
        </is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ht="26" customHeight="1">
      <c r="A8" s="2" t="inlineStr">
        <is>
          <t xml:space="preserve">Payment gateways - Stripe, PayPal, CCAvenue</t>
        </is>
      </c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ht="26" customHeight="1">
      <c r="A9" s="5" t="inlineStr">
        <is>
          <t xml:space="preserve">Vonage video integration (VCDoctor)</t>
        </is>
      </c>
      <c r="B9" s="14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ht="26" customHeight="1">
      <c r="A10" s="2" t="inlineStr">
        <is>
          <t xml:space="preserve">SignalR messaging + FCM multi-device signalling</t>
        </is>
      </c>
      <c r="B10" s="6"/>
      <c r="C10" s="6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26" customHeight="1">
      <c r="A11" s="5" t="inlineStr">
        <is>
          <t xml:space="preserve">ERP reporting for multiple institutions</t>
        </is>
      </c>
      <c r="B11" s="14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ht="26" customHeight="1">
      <c r="A12" s="2" t="inlineStr">
        <is>
          <t xml:space="preserve">.NET Core APIs into an existing ASP.NET app</t>
        </is>
      </c>
      <c r="B12" s="6"/>
      <c r="C12" s="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26" customHeight="1">
      <c r="A13" s="5" t="inlineStr">
        <is>
          <t xml:space="preserve">Hardest production incident I resolved</t>
        </is>
      </c>
      <c r="B13" s="14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ht="26" customHeight="1">
      <c r="A14" s="2" t="inlineStr">
        <is>
          <t xml:space="preserve">A disagreement with someone senior - FIND A REAL ONE</t>
        </is>
      </c>
      <c r="B14" s="6"/>
      <c r="C14" s="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ht="26" customHeight="1">
      <c r="A15" s="5" t="inlineStr">
        <is>
          <t xml:space="preserve">A time I was wrong / hard feedback - FIND A REAL ONE</t>
        </is>
      </c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ht="26" customHeight="1">
      <c r="A16" s="2" t="inlineStr">
        <is>
          <t xml:space="preserve">Helping a junior developer</t>
        </is>
      </c>
      <c r="B16" s="6"/>
      <c r="C16" s="6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ht="26" customHeight="1">
      <c r="A17" s="5" t="inlineStr">
        <is>
          <t xml:space="preserve">The distributed job platform project</t>
        </is>
      </c>
      <c r="B17" s="14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ht="26" customHeight="1">
      <c r="A18" s="2" t="inlineStr">
        <is>
          <t xml:space="preserve">The RAG service project</t>
        </is>
      </c>
      <c r="B18" s="6"/>
      <c r="C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ht="26" customHeight="1">
      <c r="A19" s="5"/>
      <c r="B19" s="14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ht="26" customHeight="1">
      <c r="A20" s="2"/>
      <c r="B20" s="6"/>
      <c r="C20" s="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ht="26" customHeight="1">
      <c r="A21" s="5"/>
      <c r="B21" s="14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ht="26" customHeight="1">
      <c r="A22" s="2"/>
      <c r="B22" s="6"/>
      <c r="C22" s="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ht="26" customHeight="1">
      <c r="A23" s="5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26" customHeight="1">
      <c r="A24" s="2"/>
      <c r="B24" s="6"/>
      <c r="C24" s="6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ht="26" customHeight="1">
      <c r="A25" s="5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/>
    <row r="27">
      <c r="A27" s="4" t="inlineStr">
        <is>
          <t xml:space="preserve">* = appears in roughly 85% of Amazon interviews. EVERY column needs at least two marks. A column with zero marks is an interview you are going to lose.</t>
        </is>
      </c>
    </row>
  </sheetData>
  <pageMargins left="0.5" right="0.5" top="0.5" bottom="0.5" header="0.3" footer="0.3"/>
</worksheet>
</file>

<file path=xl/worksheets/sheet9.xml><?xml version="1.0" encoding="utf-8"?>
<worksheet xmlns="http://schemas.openxmlformats.org/spreadsheetml/2006/main">
  <dimension ref="A1:C262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00" customWidth="1"/>
    <col min="3" max="3" width="16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One line: what problem came up, what I decided, what happened</t>
        </is>
      </c>
      <c r="C1" s="1" t="inlineStr">
        <is>
          <t xml:space="preserve">Story material?</t>
        </is>
      </c>
    </row>
    <row r="2" ht="30" customHeight="1">
      <c r="A2" s="12"/>
      <c r="B2" s="5" t="inlineStr">
        <is>
          <t xml:space="preserve">Bulk export timing out at 50k records. Chose to batch and stream rather than raise the timeout. Cut memory use, export finished in 4 min.   &lt;- EXAMPLE, delete it</t>
        </is>
      </c>
      <c r="C2" s="13" t="inlineStr">
        <is>
          <t xml:space="preserve">yes</t>
        </is>
      </c>
    </row>
    <row r="3">
      <c r="A3" s="3"/>
      <c r="B3" s="2"/>
      <c r="C3" s="11"/>
    </row>
    <row r="4">
      <c r="A4" s="3"/>
      <c r="B4" s="2"/>
      <c r="C4" s="11"/>
    </row>
    <row r="5">
      <c r="A5" s="3"/>
      <c r="B5" s="2"/>
      <c r="C5" s="11"/>
    </row>
    <row r="6">
      <c r="A6" s="3"/>
      <c r="B6" s="2"/>
      <c r="C6" s="11"/>
    </row>
    <row r="7">
      <c r="A7" s="3"/>
      <c r="B7" s="2"/>
      <c r="C7" s="11"/>
    </row>
    <row r="8">
      <c r="A8" s="3"/>
      <c r="B8" s="2"/>
      <c r="C8" s="11"/>
    </row>
    <row r="9">
      <c r="A9" s="3"/>
      <c r="B9" s="2"/>
      <c r="C9" s="11"/>
    </row>
    <row r="10">
      <c r="A10" s="3"/>
      <c r="B10" s="2"/>
      <c r="C10" s="11"/>
    </row>
    <row r="11">
      <c r="A11" s="3"/>
      <c r="B11" s="2"/>
      <c r="C11" s="11"/>
    </row>
    <row r="12">
      <c r="A12" s="3"/>
      <c r="B12" s="2"/>
      <c r="C12" s="11"/>
    </row>
    <row r="13">
      <c r="A13" s="3"/>
      <c r="B13" s="2"/>
      <c r="C13" s="11"/>
    </row>
    <row r="14">
      <c r="A14" s="3"/>
      <c r="B14" s="2"/>
      <c r="C14" s="11"/>
    </row>
    <row r="15">
      <c r="A15" s="3"/>
      <c r="B15" s="2"/>
      <c r="C15" s="11"/>
    </row>
    <row r="16">
      <c r="A16" s="3"/>
      <c r="B16" s="2"/>
      <c r="C16" s="11"/>
    </row>
    <row r="17">
      <c r="A17" s="3"/>
      <c r="B17" s="2"/>
      <c r="C17" s="11"/>
    </row>
    <row r="18">
      <c r="A18" s="3"/>
      <c r="B18" s="2"/>
      <c r="C18" s="11"/>
    </row>
    <row r="19">
      <c r="A19" s="3"/>
      <c r="B19" s="2"/>
      <c r="C19" s="11"/>
    </row>
    <row r="20">
      <c r="A20" s="3"/>
      <c r="B20" s="2"/>
      <c r="C20" s="11"/>
    </row>
    <row r="21">
      <c r="A21" s="3"/>
      <c r="B21" s="2"/>
      <c r="C21" s="11"/>
    </row>
    <row r="22">
      <c r="A22" s="3"/>
      <c r="B22" s="2"/>
      <c r="C22" s="11"/>
    </row>
    <row r="23">
      <c r="A23" s="3"/>
      <c r="B23" s="2"/>
      <c r="C23" s="11"/>
    </row>
    <row r="24">
      <c r="A24" s="3"/>
      <c r="B24" s="2"/>
      <c r="C24" s="11"/>
    </row>
    <row r="25">
      <c r="A25" s="3"/>
      <c r="B25" s="2"/>
      <c r="C25" s="11"/>
    </row>
    <row r="26">
      <c r="A26" s="3"/>
      <c r="B26" s="2"/>
      <c r="C26" s="11"/>
    </row>
    <row r="27">
      <c r="A27" s="3"/>
      <c r="B27" s="2"/>
      <c r="C27" s="11"/>
    </row>
    <row r="28">
      <c r="A28" s="3"/>
      <c r="B28" s="2"/>
      <c r="C28" s="11"/>
    </row>
    <row r="29">
      <c r="A29" s="3"/>
      <c r="B29" s="2"/>
      <c r="C29" s="11"/>
    </row>
    <row r="30">
      <c r="A30" s="3"/>
      <c r="B30" s="2"/>
      <c r="C30" s="11"/>
    </row>
    <row r="31">
      <c r="A31" s="3"/>
      <c r="B31" s="2"/>
      <c r="C31" s="11"/>
    </row>
    <row r="32">
      <c r="A32" s="3"/>
      <c r="B32" s="2"/>
      <c r="C32" s="11"/>
    </row>
    <row r="33">
      <c r="A33" s="3"/>
      <c r="B33" s="2"/>
      <c r="C33" s="11"/>
    </row>
    <row r="34">
      <c r="A34" s="3"/>
      <c r="B34" s="2"/>
      <c r="C34" s="11"/>
    </row>
    <row r="35">
      <c r="A35" s="3"/>
      <c r="B35" s="2"/>
      <c r="C35" s="11"/>
    </row>
    <row r="36">
      <c r="A36" s="3"/>
      <c r="B36" s="2"/>
      <c r="C36" s="11"/>
    </row>
    <row r="37">
      <c r="A37" s="3"/>
      <c r="B37" s="2"/>
      <c r="C37" s="11"/>
    </row>
    <row r="38">
      <c r="A38" s="3"/>
      <c r="B38" s="2"/>
      <c r="C38" s="11"/>
    </row>
    <row r="39">
      <c r="A39" s="3"/>
      <c r="B39" s="2"/>
      <c r="C39" s="11"/>
    </row>
    <row r="40">
      <c r="A40" s="3"/>
      <c r="B40" s="2"/>
      <c r="C40" s="11"/>
    </row>
    <row r="41">
      <c r="A41" s="3"/>
      <c r="B41" s="2"/>
      <c r="C41" s="11"/>
    </row>
    <row r="42">
      <c r="A42" s="3"/>
      <c r="B42" s="2"/>
      <c r="C42" s="11"/>
    </row>
    <row r="43">
      <c r="A43" s="3"/>
      <c r="B43" s="2"/>
      <c r="C43" s="11"/>
    </row>
    <row r="44">
      <c r="A44" s="3"/>
      <c r="B44" s="2"/>
      <c r="C44" s="11"/>
    </row>
    <row r="45">
      <c r="A45" s="3"/>
      <c r="B45" s="2"/>
      <c r="C45" s="11"/>
    </row>
    <row r="46">
      <c r="A46" s="3"/>
      <c r="B46" s="2"/>
      <c r="C46" s="11"/>
    </row>
    <row r="47">
      <c r="A47" s="3"/>
      <c r="B47" s="2"/>
      <c r="C47" s="11"/>
    </row>
    <row r="48">
      <c r="A48" s="3"/>
      <c r="B48" s="2"/>
      <c r="C48" s="11"/>
    </row>
    <row r="49">
      <c r="A49" s="3"/>
      <c r="B49" s="2"/>
      <c r="C49" s="11"/>
    </row>
    <row r="50">
      <c r="A50" s="3"/>
      <c r="B50" s="2"/>
      <c r="C50" s="11"/>
    </row>
    <row r="51">
      <c r="A51" s="3"/>
      <c r="B51" s="2"/>
      <c r="C51" s="11"/>
    </row>
    <row r="52">
      <c r="A52" s="3"/>
      <c r="B52" s="2"/>
      <c r="C52" s="11"/>
    </row>
    <row r="53">
      <c r="A53" s="3"/>
      <c r="B53" s="2"/>
      <c r="C53" s="11"/>
    </row>
    <row r="54">
      <c r="A54" s="3"/>
      <c r="B54" s="2"/>
      <c r="C54" s="11"/>
    </row>
    <row r="55">
      <c r="A55" s="3"/>
      <c r="B55" s="2"/>
      <c r="C55" s="11"/>
    </row>
    <row r="56">
      <c r="A56" s="3"/>
      <c r="B56" s="2"/>
      <c r="C56" s="11"/>
    </row>
    <row r="57">
      <c r="A57" s="3"/>
      <c r="B57" s="2"/>
      <c r="C57" s="11"/>
    </row>
    <row r="58">
      <c r="A58" s="3"/>
      <c r="B58" s="2"/>
      <c r="C58" s="11"/>
    </row>
    <row r="59">
      <c r="A59" s="3"/>
      <c r="B59" s="2"/>
      <c r="C59" s="11"/>
    </row>
    <row r="60">
      <c r="A60" s="3"/>
      <c r="B60" s="2"/>
      <c r="C60" s="11"/>
    </row>
    <row r="61">
      <c r="A61" s="3"/>
      <c r="B61" s="2"/>
      <c r="C61" s="11"/>
    </row>
    <row r="62">
      <c r="A62" s="3"/>
      <c r="B62" s="2"/>
      <c r="C62" s="11"/>
    </row>
    <row r="63">
      <c r="A63" s="3"/>
      <c r="B63" s="2"/>
      <c r="C63" s="11"/>
    </row>
    <row r="64">
      <c r="A64" s="3"/>
      <c r="B64" s="2"/>
      <c r="C64" s="11"/>
    </row>
    <row r="65">
      <c r="A65" s="3"/>
      <c r="B65" s="2"/>
      <c r="C65" s="11"/>
    </row>
    <row r="66">
      <c r="A66" s="3"/>
      <c r="B66" s="2"/>
      <c r="C66" s="11"/>
    </row>
    <row r="67">
      <c r="A67" s="3"/>
      <c r="B67" s="2"/>
      <c r="C67" s="11"/>
    </row>
    <row r="68">
      <c r="A68" s="3"/>
      <c r="B68" s="2"/>
      <c r="C68" s="11"/>
    </row>
    <row r="69">
      <c r="A69" s="3"/>
      <c r="B69" s="2"/>
      <c r="C69" s="11"/>
    </row>
    <row r="70">
      <c r="A70" s="3"/>
      <c r="B70" s="2"/>
      <c r="C70" s="11"/>
    </row>
    <row r="71">
      <c r="A71" s="3"/>
      <c r="B71" s="2"/>
      <c r="C71" s="11"/>
    </row>
    <row r="72">
      <c r="A72" s="3"/>
      <c r="B72" s="2"/>
      <c r="C72" s="11"/>
    </row>
    <row r="73">
      <c r="A73" s="3"/>
      <c r="B73" s="2"/>
      <c r="C73" s="11"/>
    </row>
    <row r="74">
      <c r="A74" s="3"/>
      <c r="B74" s="2"/>
      <c r="C74" s="11"/>
    </row>
    <row r="75">
      <c r="A75" s="3"/>
      <c r="B75" s="2"/>
      <c r="C75" s="11"/>
    </row>
    <row r="76">
      <c r="A76" s="3"/>
      <c r="B76" s="2"/>
      <c r="C76" s="11"/>
    </row>
    <row r="77">
      <c r="A77" s="3"/>
      <c r="B77" s="2"/>
      <c r="C77" s="11"/>
    </row>
    <row r="78">
      <c r="A78" s="3"/>
      <c r="B78" s="2"/>
      <c r="C78" s="11"/>
    </row>
    <row r="79">
      <c r="A79" s="3"/>
      <c r="B79" s="2"/>
      <c r="C79" s="11"/>
    </row>
    <row r="80">
      <c r="A80" s="3"/>
      <c r="B80" s="2"/>
      <c r="C80" s="11"/>
    </row>
    <row r="81">
      <c r="A81" s="3"/>
      <c r="B81" s="2"/>
      <c r="C81" s="11"/>
    </row>
    <row r="82">
      <c r="A82" s="3"/>
      <c r="B82" s="2"/>
      <c r="C82" s="11"/>
    </row>
    <row r="83">
      <c r="A83" s="3"/>
      <c r="B83" s="2"/>
      <c r="C83" s="11"/>
    </row>
    <row r="84">
      <c r="A84" s="3"/>
      <c r="B84" s="2"/>
      <c r="C84" s="11"/>
    </row>
    <row r="85">
      <c r="A85" s="3"/>
      <c r="B85" s="2"/>
      <c r="C85" s="11"/>
    </row>
    <row r="86">
      <c r="A86" s="3"/>
      <c r="B86" s="2"/>
      <c r="C86" s="11"/>
    </row>
    <row r="87">
      <c r="A87" s="3"/>
      <c r="B87" s="2"/>
      <c r="C87" s="11"/>
    </row>
    <row r="88">
      <c r="A88" s="3"/>
      <c r="B88" s="2"/>
      <c r="C88" s="11"/>
    </row>
    <row r="89">
      <c r="A89" s="3"/>
      <c r="B89" s="2"/>
      <c r="C89" s="11"/>
    </row>
    <row r="90">
      <c r="A90" s="3"/>
      <c r="B90" s="2"/>
      <c r="C90" s="11"/>
    </row>
    <row r="91">
      <c r="A91" s="3"/>
      <c r="B91" s="2"/>
      <c r="C91" s="11"/>
    </row>
    <row r="92">
      <c r="A92" s="3"/>
      <c r="B92" s="2"/>
      <c r="C92" s="11"/>
    </row>
    <row r="93">
      <c r="A93" s="3"/>
      <c r="B93" s="2"/>
      <c r="C93" s="11"/>
    </row>
    <row r="94">
      <c r="A94" s="3"/>
      <c r="B94" s="2"/>
      <c r="C94" s="11"/>
    </row>
    <row r="95">
      <c r="A95" s="3"/>
      <c r="B95" s="2"/>
      <c r="C95" s="11"/>
    </row>
    <row r="96">
      <c r="A96" s="3"/>
      <c r="B96" s="2"/>
      <c r="C96" s="11"/>
    </row>
    <row r="97">
      <c r="A97" s="3"/>
      <c r="B97" s="2"/>
      <c r="C97" s="11"/>
    </row>
    <row r="98">
      <c r="A98" s="3"/>
      <c r="B98" s="2"/>
      <c r="C98" s="11"/>
    </row>
    <row r="99">
      <c r="A99" s="3"/>
      <c r="B99" s="2"/>
      <c r="C99" s="11"/>
    </row>
    <row r="100">
      <c r="A100" s="3"/>
      <c r="B100" s="2"/>
      <c r="C100" s="11"/>
    </row>
    <row r="101">
      <c r="A101" s="3"/>
      <c r="B101" s="2"/>
      <c r="C101" s="11"/>
    </row>
    <row r="102">
      <c r="A102" s="3"/>
      <c r="B102" s="2"/>
      <c r="C102" s="11"/>
    </row>
    <row r="103">
      <c r="A103" s="3"/>
      <c r="B103" s="2"/>
      <c r="C103" s="11"/>
    </row>
    <row r="104">
      <c r="A104" s="3"/>
      <c r="B104" s="2"/>
      <c r="C104" s="11"/>
    </row>
    <row r="105">
      <c r="A105" s="3"/>
      <c r="B105" s="2"/>
      <c r="C105" s="11"/>
    </row>
    <row r="106">
      <c r="A106" s="3"/>
      <c r="B106" s="2"/>
      <c r="C106" s="11"/>
    </row>
    <row r="107">
      <c r="A107" s="3"/>
      <c r="B107" s="2"/>
      <c r="C107" s="11"/>
    </row>
    <row r="108">
      <c r="A108" s="3"/>
      <c r="B108" s="2"/>
      <c r="C108" s="11"/>
    </row>
    <row r="109">
      <c r="A109" s="3"/>
      <c r="B109" s="2"/>
      <c r="C109" s="11"/>
    </row>
    <row r="110">
      <c r="A110" s="3"/>
      <c r="B110" s="2"/>
      <c r="C110" s="11"/>
    </row>
    <row r="111">
      <c r="A111" s="3"/>
      <c r="B111" s="2"/>
      <c r="C111" s="11"/>
    </row>
    <row r="112">
      <c r="A112" s="3"/>
      <c r="B112" s="2"/>
      <c r="C112" s="11"/>
    </row>
    <row r="113">
      <c r="A113" s="3"/>
      <c r="B113" s="2"/>
      <c r="C113" s="11"/>
    </row>
    <row r="114">
      <c r="A114" s="3"/>
      <c r="B114" s="2"/>
      <c r="C114" s="11"/>
    </row>
    <row r="115">
      <c r="A115" s="3"/>
      <c r="B115" s="2"/>
      <c r="C115" s="11"/>
    </row>
    <row r="116">
      <c r="A116" s="3"/>
      <c r="B116" s="2"/>
      <c r="C116" s="11"/>
    </row>
    <row r="117">
      <c r="A117" s="3"/>
      <c r="B117" s="2"/>
      <c r="C117" s="11"/>
    </row>
    <row r="118">
      <c r="A118" s="3"/>
      <c r="B118" s="2"/>
      <c r="C118" s="11"/>
    </row>
    <row r="119">
      <c r="A119" s="3"/>
      <c r="B119" s="2"/>
      <c r="C119" s="11"/>
    </row>
    <row r="120">
      <c r="A120" s="3"/>
      <c r="B120" s="2"/>
      <c r="C120" s="11"/>
    </row>
    <row r="121">
      <c r="A121" s="3"/>
      <c r="B121" s="2"/>
      <c r="C121" s="11"/>
    </row>
    <row r="122">
      <c r="A122" s="3"/>
      <c r="B122" s="2"/>
      <c r="C122" s="11"/>
    </row>
    <row r="123">
      <c r="A123" s="3"/>
      <c r="B123" s="2"/>
      <c r="C123" s="11"/>
    </row>
    <row r="124">
      <c r="A124" s="3"/>
      <c r="B124" s="2"/>
      <c r="C124" s="11"/>
    </row>
    <row r="125">
      <c r="A125" s="3"/>
      <c r="B125" s="2"/>
      <c r="C125" s="11"/>
    </row>
    <row r="126">
      <c r="A126" s="3"/>
      <c r="B126" s="2"/>
      <c r="C126" s="11"/>
    </row>
    <row r="127">
      <c r="A127" s="3"/>
      <c r="B127" s="2"/>
      <c r="C127" s="11"/>
    </row>
    <row r="128">
      <c r="A128" s="3"/>
      <c r="B128" s="2"/>
      <c r="C128" s="11"/>
    </row>
    <row r="129">
      <c r="A129" s="3"/>
      <c r="B129" s="2"/>
      <c r="C129" s="11"/>
    </row>
    <row r="130">
      <c r="A130" s="3"/>
      <c r="B130" s="2"/>
      <c r="C130" s="11"/>
    </row>
    <row r="131">
      <c r="A131" s="3"/>
      <c r="B131" s="2"/>
      <c r="C131" s="11"/>
    </row>
    <row r="132">
      <c r="A132" s="3"/>
      <c r="B132" s="2"/>
      <c r="C132" s="11"/>
    </row>
    <row r="133">
      <c r="A133" s="3"/>
      <c r="B133" s="2"/>
      <c r="C133" s="11"/>
    </row>
    <row r="134">
      <c r="A134" s="3"/>
      <c r="B134" s="2"/>
      <c r="C134" s="11"/>
    </row>
    <row r="135">
      <c r="A135" s="3"/>
      <c r="B135" s="2"/>
      <c r="C135" s="11"/>
    </row>
    <row r="136">
      <c r="A136" s="3"/>
      <c r="B136" s="2"/>
      <c r="C136" s="11"/>
    </row>
    <row r="137">
      <c r="A137" s="3"/>
      <c r="B137" s="2"/>
      <c r="C137" s="11"/>
    </row>
    <row r="138">
      <c r="A138" s="3"/>
      <c r="B138" s="2"/>
      <c r="C138" s="11"/>
    </row>
    <row r="139">
      <c r="A139" s="3"/>
      <c r="B139" s="2"/>
      <c r="C139" s="11"/>
    </row>
    <row r="140">
      <c r="A140" s="3"/>
      <c r="B140" s="2"/>
      <c r="C140" s="11"/>
    </row>
    <row r="141">
      <c r="A141" s="3"/>
      <c r="B141" s="2"/>
      <c r="C141" s="11"/>
    </row>
    <row r="142">
      <c r="A142" s="3"/>
      <c r="B142" s="2"/>
      <c r="C142" s="11"/>
    </row>
    <row r="143">
      <c r="A143" s="3"/>
      <c r="B143" s="2"/>
      <c r="C143" s="11"/>
    </row>
    <row r="144">
      <c r="A144" s="3"/>
      <c r="B144" s="2"/>
      <c r="C144" s="11"/>
    </row>
    <row r="145">
      <c r="A145" s="3"/>
      <c r="B145" s="2"/>
      <c r="C145" s="11"/>
    </row>
    <row r="146">
      <c r="A146" s="3"/>
      <c r="B146" s="2"/>
      <c r="C146" s="11"/>
    </row>
    <row r="147">
      <c r="A147" s="3"/>
      <c r="B147" s="2"/>
      <c r="C147" s="11"/>
    </row>
    <row r="148">
      <c r="A148" s="3"/>
      <c r="B148" s="2"/>
      <c r="C148" s="11"/>
    </row>
    <row r="149">
      <c r="A149" s="3"/>
      <c r="B149" s="2"/>
      <c r="C149" s="11"/>
    </row>
    <row r="150">
      <c r="A150" s="3"/>
      <c r="B150" s="2"/>
      <c r="C150" s="11"/>
    </row>
    <row r="151">
      <c r="A151" s="3"/>
      <c r="B151" s="2"/>
      <c r="C151" s="11"/>
    </row>
    <row r="152">
      <c r="A152" s="3"/>
      <c r="B152" s="2"/>
      <c r="C152" s="11"/>
    </row>
    <row r="153">
      <c r="A153" s="3"/>
      <c r="B153" s="2"/>
      <c r="C153" s="11"/>
    </row>
    <row r="154">
      <c r="A154" s="3"/>
      <c r="B154" s="2"/>
      <c r="C154" s="11"/>
    </row>
    <row r="155">
      <c r="A155" s="3"/>
      <c r="B155" s="2"/>
      <c r="C155" s="11"/>
    </row>
    <row r="156">
      <c r="A156" s="3"/>
      <c r="B156" s="2"/>
      <c r="C156" s="11"/>
    </row>
    <row r="157">
      <c r="A157" s="3"/>
      <c r="B157" s="2"/>
      <c r="C157" s="11"/>
    </row>
    <row r="158">
      <c r="A158" s="3"/>
      <c r="B158" s="2"/>
      <c r="C158" s="11"/>
    </row>
    <row r="159">
      <c r="A159" s="3"/>
      <c r="B159" s="2"/>
      <c r="C159" s="11"/>
    </row>
    <row r="160">
      <c r="A160" s="3"/>
      <c r="B160" s="2"/>
      <c r="C160" s="11"/>
    </row>
    <row r="161">
      <c r="A161" s="3"/>
      <c r="B161" s="2"/>
      <c r="C161" s="11"/>
    </row>
    <row r="162">
      <c r="A162" s="3"/>
      <c r="B162" s="2"/>
      <c r="C162" s="11"/>
    </row>
    <row r="163">
      <c r="A163" s="3"/>
      <c r="B163" s="2"/>
      <c r="C163" s="11"/>
    </row>
    <row r="164">
      <c r="A164" s="3"/>
      <c r="B164" s="2"/>
      <c r="C164" s="11"/>
    </row>
    <row r="165">
      <c r="A165" s="3"/>
      <c r="B165" s="2"/>
      <c r="C165" s="11"/>
    </row>
    <row r="166">
      <c r="A166" s="3"/>
      <c r="B166" s="2"/>
      <c r="C166" s="11"/>
    </row>
    <row r="167">
      <c r="A167" s="3"/>
      <c r="B167" s="2"/>
      <c r="C167" s="11"/>
    </row>
    <row r="168">
      <c r="A168" s="3"/>
      <c r="B168" s="2"/>
      <c r="C168" s="11"/>
    </row>
    <row r="169">
      <c r="A169" s="3"/>
      <c r="B169" s="2"/>
      <c r="C169" s="11"/>
    </row>
    <row r="170">
      <c r="A170" s="3"/>
      <c r="B170" s="2"/>
      <c r="C170" s="11"/>
    </row>
    <row r="171">
      <c r="A171" s="3"/>
      <c r="B171" s="2"/>
      <c r="C171" s="11"/>
    </row>
    <row r="172">
      <c r="A172" s="3"/>
      <c r="B172" s="2"/>
      <c r="C172" s="11"/>
    </row>
    <row r="173">
      <c r="A173" s="3"/>
      <c r="B173" s="2"/>
      <c r="C173" s="11"/>
    </row>
    <row r="174">
      <c r="A174" s="3"/>
      <c r="B174" s="2"/>
      <c r="C174" s="11"/>
    </row>
    <row r="175">
      <c r="A175" s="3"/>
      <c r="B175" s="2"/>
      <c r="C175" s="11"/>
    </row>
    <row r="176">
      <c r="A176" s="3"/>
      <c r="B176" s="2"/>
      <c r="C176" s="11"/>
    </row>
    <row r="177">
      <c r="A177" s="3"/>
      <c r="B177" s="2"/>
      <c r="C177" s="11"/>
    </row>
    <row r="178">
      <c r="A178" s="3"/>
      <c r="B178" s="2"/>
      <c r="C178" s="11"/>
    </row>
    <row r="179">
      <c r="A179" s="3"/>
      <c r="B179" s="2"/>
      <c r="C179" s="11"/>
    </row>
    <row r="180">
      <c r="A180" s="3"/>
      <c r="B180" s="2"/>
      <c r="C180" s="11"/>
    </row>
    <row r="181">
      <c r="A181" s="3"/>
      <c r="B181" s="2"/>
      <c r="C181" s="11"/>
    </row>
    <row r="182">
      <c r="A182" s="3"/>
      <c r="B182" s="2"/>
      <c r="C182" s="11"/>
    </row>
    <row r="183">
      <c r="A183" s="3"/>
      <c r="B183" s="2"/>
      <c r="C183" s="11"/>
    </row>
    <row r="184">
      <c r="A184" s="3"/>
      <c r="B184" s="2"/>
      <c r="C184" s="11"/>
    </row>
    <row r="185">
      <c r="A185" s="3"/>
      <c r="B185" s="2"/>
      <c r="C185" s="11"/>
    </row>
    <row r="186">
      <c r="A186" s="3"/>
      <c r="B186" s="2"/>
      <c r="C186" s="11"/>
    </row>
    <row r="187">
      <c r="A187" s="3"/>
      <c r="B187" s="2"/>
      <c r="C187" s="11"/>
    </row>
    <row r="188">
      <c r="A188" s="3"/>
      <c r="B188" s="2"/>
      <c r="C188" s="11"/>
    </row>
    <row r="189">
      <c r="A189" s="3"/>
      <c r="B189" s="2"/>
      <c r="C189" s="11"/>
    </row>
    <row r="190">
      <c r="A190" s="3"/>
      <c r="B190" s="2"/>
      <c r="C190" s="11"/>
    </row>
    <row r="191">
      <c r="A191" s="3"/>
      <c r="B191" s="2"/>
      <c r="C191" s="11"/>
    </row>
    <row r="192">
      <c r="A192" s="3"/>
      <c r="B192" s="2"/>
      <c r="C192" s="11"/>
    </row>
    <row r="193">
      <c r="A193" s="3"/>
      <c r="B193" s="2"/>
      <c r="C193" s="11"/>
    </row>
    <row r="194">
      <c r="A194" s="3"/>
      <c r="B194" s="2"/>
      <c r="C194" s="11"/>
    </row>
    <row r="195">
      <c r="A195" s="3"/>
      <c r="B195" s="2"/>
      <c r="C195" s="11"/>
    </row>
    <row r="196">
      <c r="A196" s="3"/>
      <c r="B196" s="2"/>
      <c r="C196" s="11"/>
    </row>
    <row r="197">
      <c r="A197" s="3"/>
      <c r="B197" s="2"/>
      <c r="C197" s="11"/>
    </row>
    <row r="198">
      <c r="A198" s="3"/>
      <c r="B198" s="2"/>
      <c r="C198" s="11"/>
    </row>
    <row r="199">
      <c r="A199" s="3"/>
      <c r="B199" s="2"/>
      <c r="C199" s="11"/>
    </row>
    <row r="200">
      <c r="A200" s="3"/>
      <c r="B200" s="2"/>
      <c r="C200" s="11"/>
    </row>
    <row r="201">
      <c r="A201" s="3"/>
      <c r="B201" s="2"/>
      <c r="C201" s="11"/>
    </row>
    <row r="202">
      <c r="A202" s="3"/>
      <c r="B202" s="2"/>
      <c r="C202" s="11"/>
    </row>
    <row r="203">
      <c r="A203" s="3"/>
      <c r="B203" s="2"/>
      <c r="C203" s="11"/>
    </row>
    <row r="204">
      <c r="A204" s="3"/>
      <c r="B204" s="2"/>
      <c r="C204" s="11"/>
    </row>
    <row r="205">
      <c r="A205" s="3"/>
      <c r="B205" s="2"/>
      <c r="C205" s="11"/>
    </row>
    <row r="206">
      <c r="A206" s="3"/>
      <c r="B206" s="2"/>
      <c r="C206" s="11"/>
    </row>
    <row r="207">
      <c r="A207" s="3"/>
      <c r="B207" s="2"/>
      <c r="C207" s="11"/>
    </row>
    <row r="208">
      <c r="A208" s="3"/>
      <c r="B208" s="2"/>
      <c r="C208" s="11"/>
    </row>
    <row r="209">
      <c r="A209" s="3"/>
      <c r="B209" s="2"/>
      <c r="C209" s="11"/>
    </row>
    <row r="210">
      <c r="A210" s="3"/>
      <c r="B210" s="2"/>
      <c r="C210" s="11"/>
    </row>
    <row r="211">
      <c r="A211" s="3"/>
      <c r="B211" s="2"/>
      <c r="C211" s="11"/>
    </row>
    <row r="212">
      <c r="A212" s="3"/>
      <c r="B212" s="2"/>
      <c r="C212" s="11"/>
    </row>
    <row r="213">
      <c r="A213" s="3"/>
      <c r="B213" s="2"/>
      <c r="C213" s="11"/>
    </row>
    <row r="214">
      <c r="A214" s="3"/>
      <c r="B214" s="2"/>
      <c r="C214" s="11"/>
    </row>
    <row r="215">
      <c r="A215" s="3"/>
      <c r="B215" s="2"/>
      <c r="C215" s="11"/>
    </row>
    <row r="216">
      <c r="A216" s="3"/>
      <c r="B216" s="2"/>
      <c r="C216" s="11"/>
    </row>
    <row r="217">
      <c r="A217" s="3"/>
      <c r="B217" s="2"/>
      <c r="C217" s="11"/>
    </row>
    <row r="218">
      <c r="A218" s="3"/>
      <c r="B218" s="2"/>
      <c r="C218" s="11"/>
    </row>
    <row r="219">
      <c r="A219" s="3"/>
      <c r="B219" s="2"/>
      <c r="C219" s="11"/>
    </row>
    <row r="220">
      <c r="A220" s="3"/>
      <c r="B220" s="2"/>
      <c r="C220" s="11"/>
    </row>
    <row r="221">
      <c r="A221" s="3"/>
      <c r="B221" s="2"/>
      <c r="C221" s="11"/>
    </row>
    <row r="222">
      <c r="A222" s="3"/>
      <c r="B222" s="2"/>
      <c r="C222" s="11"/>
    </row>
    <row r="223">
      <c r="A223" s="3"/>
      <c r="B223" s="2"/>
      <c r="C223" s="11"/>
    </row>
    <row r="224">
      <c r="A224" s="3"/>
      <c r="B224" s="2"/>
      <c r="C224" s="11"/>
    </row>
    <row r="225">
      <c r="A225" s="3"/>
      <c r="B225" s="2"/>
      <c r="C225" s="11"/>
    </row>
    <row r="226">
      <c r="A226" s="3"/>
      <c r="B226" s="2"/>
      <c r="C226" s="11"/>
    </row>
    <row r="227">
      <c r="A227" s="3"/>
      <c r="B227" s="2"/>
      <c r="C227" s="11"/>
    </row>
    <row r="228">
      <c r="A228" s="3"/>
      <c r="B228" s="2"/>
      <c r="C228" s="11"/>
    </row>
    <row r="229">
      <c r="A229" s="3"/>
      <c r="B229" s="2"/>
      <c r="C229" s="11"/>
    </row>
    <row r="230">
      <c r="A230" s="3"/>
      <c r="B230" s="2"/>
      <c r="C230" s="11"/>
    </row>
    <row r="231">
      <c r="A231" s="3"/>
      <c r="B231" s="2"/>
      <c r="C231" s="11"/>
    </row>
    <row r="232">
      <c r="A232" s="3"/>
      <c r="B232" s="2"/>
      <c r="C232" s="11"/>
    </row>
    <row r="233">
      <c r="A233" s="3"/>
      <c r="B233" s="2"/>
      <c r="C233" s="11"/>
    </row>
    <row r="234">
      <c r="A234" s="3"/>
      <c r="B234" s="2"/>
      <c r="C234" s="11"/>
    </row>
    <row r="235">
      <c r="A235" s="3"/>
      <c r="B235" s="2"/>
      <c r="C235" s="11"/>
    </row>
    <row r="236">
      <c r="A236" s="3"/>
      <c r="B236" s="2"/>
      <c r="C236" s="11"/>
    </row>
    <row r="237">
      <c r="A237" s="3"/>
      <c r="B237" s="2"/>
      <c r="C237" s="11"/>
    </row>
    <row r="238">
      <c r="A238" s="3"/>
      <c r="B238" s="2"/>
      <c r="C238" s="11"/>
    </row>
    <row r="239">
      <c r="A239" s="3"/>
      <c r="B239" s="2"/>
      <c r="C239" s="11"/>
    </row>
    <row r="240">
      <c r="A240" s="3"/>
      <c r="B240" s="2"/>
      <c r="C240" s="11"/>
    </row>
    <row r="241">
      <c r="A241" s="3"/>
      <c r="B241" s="2"/>
      <c r="C241" s="11"/>
    </row>
    <row r="242">
      <c r="A242" s="3"/>
      <c r="B242" s="2"/>
      <c r="C242" s="11"/>
    </row>
    <row r="243">
      <c r="A243" s="3"/>
      <c r="B243" s="2"/>
      <c r="C243" s="11"/>
    </row>
    <row r="244">
      <c r="A244" s="3"/>
      <c r="B244" s="2"/>
      <c r="C244" s="11"/>
    </row>
    <row r="245">
      <c r="A245" s="3"/>
      <c r="B245" s="2"/>
      <c r="C245" s="11"/>
    </row>
    <row r="246">
      <c r="A246" s="3"/>
      <c r="B246" s="2"/>
      <c r="C246" s="11"/>
    </row>
    <row r="247">
      <c r="A247" s="3"/>
      <c r="B247" s="2"/>
      <c r="C247" s="11"/>
    </row>
    <row r="248">
      <c r="A248" s="3"/>
      <c r="B248" s="2"/>
      <c r="C248" s="11"/>
    </row>
    <row r="249">
      <c r="A249" s="3"/>
      <c r="B249" s="2"/>
      <c r="C249" s="11"/>
    </row>
    <row r="250">
      <c r="A250" s="3"/>
      <c r="B250" s="2"/>
      <c r="C250" s="11"/>
    </row>
    <row r="251">
      <c r="A251" s="3"/>
      <c r="B251" s="2"/>
      <c r="C251" s="11"/>
    </row>
    <row r="252">
      <c r="A252" s="3"/>
      <c r="B252" s="2"/>
      <c r="C252" s="11"/>
    </row>
    <row r="253">
      <c r="A253" s="3"/>
      <c r="B253" s="2"/>
      <c r="C253" s="11"/>
    </row>
    <row r="254">
      <c r="A254" s="3"/>
      <c r="B254" s="2"/>
      <c r="C254" s="11"/>
    </row>
    <row r="255">
      <c r="A255" s="3"/>
      <c r="B255" s="2"/>
      <c r="C255" s="11"/>
    </row>
    <row r="256">
      <c r="A256" s="3"/>
      <c r="B256" s="2"/>
      <c r="C256" s="11"/>
    </row>
    <row r="257">
      <c r="A257" s="3"/>
      <c r="B257" s="2"/>
      <c r="C257" s="11"/>
    </row>
    <row r="258">
      <c r="A258" s="3"/>
      <c r="B258" s="2"/>
      <c r="C258" s="11"/>
    </row>
    <row r="259">
      <c r="A259" s="3"/>
      <c r="B259" s="2"/>
      <c r="C259" s="11"/>
    </row>
    <row r="260">
      <c r="A260" s="3"/>
      <c r="B260" s="2"/>
      <c r="C260" s="11"/>
    </row>
    <row r="261">
      <c r="A261" s="3"/>
      <c r="B261" s="2"/>
      <c r="C261" s="11"/>
    </row>
    <row r="262">
      <c r="A262" s="3"/>
      <c r="B262" s="2"/>
      <c r="C262" s="11"/>
    </row>
  </sheetData>
  <autoFilter ref="A1:C262"/>
  <pageMargins left="0.5" right="0.5" top="0.5" bottom="0.5" header="0.3" footer="0.3"/>
</worksheet>
</file>

<file path=xl/worksheets/sheet10.xml><?xml version="1.0" encoding="utf-8"?>
<worksheet xmlns="http://schemas.openxmlformats.org/spreadsheetml/2006/main">
  <dimension ref="A1:K138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14" customWidth="1"/>
    <col min="3" max="3" width="16" customWidth="1"/>
    <col min="4" max="4" width="9" customWidth="1"/>
    <col min="5" max="5" width="13" customWidth="1"/>
    <col min="6" max="6" width="12" customWidth="1"/>
    <col min="7" max="7" width="13" customWidth="1"/>
    <col min="8" max="8" width="10" customWidth="1"/>
    <col min="9" max="9" width="18" customWidth="1"/>
    <col min="10" max="10" width="30" customWidth="1"/>
    <col min="11" max="11" width="13" customWidth="1"/>
  </cols>
  <sheetData>
    <row r="1" ht="44" customHeight="1">
      <c r="A1" s="1" t="inlineStr">
        <is>
          <t xml:space="preserve">Company</t>
        </is>
      </c>
      <c r="B1" s="1" t="inlineStr">
        <is>
          <t xml:space="preserve">Country</t>
        </is>
      </c>
      <c r="C1" s="1" t="inlineStr">
        <is>
          <t xml:space="preserve">Route</t>
        </is>
      </c>
      <c r="D1" s="1" t="inlineStr">
        <is>
          <t xml:space="preserve">Doc 14 tier</t>
        </is>
      </c>
      <c r="E1" s="1" t="inlineStr">
        <is>
          <t xml:space="preserve">On sponsor register?</t>
        </is>
      </c>
      <c r="F1" s="1" t="inlineStr">
        <is>
          <t xml:space="preserve">LinkedIn test</t>
        </is>
      </c>
      <c r="G1" s="1" t="inlineStr">
        <is>
          <t xml:space="preserve">Applied</t>
        </is>
      </c>
      <c r="H1" s="1" t="inlineStr">
        <is>
          <t xml:space="preserve">Referral</t>
        </is>
      </c>
      <c r="I1" s="1" t="inlineStr">
        <is>
          <t xml:space="preserve">Stage</t>
        </is>
      </c>
      <c r="J1" s="1" t="inlineStr">
        <is>
          <t xml:space="preserve">Next action</t>
        </is>
      </c>
      <c r="K1" s="1" t="inlineStr">
        <is>
          <t xml:space="preserve">By when</t>
        </is>
      </c>
    </row>
    <row r="2" ht="22" customHeight="1">
      <c r="A2" s="2" t="inlineStr">
        <is>
          <t xml:space="preserve">Thomson Reuters</t>
        </is>
      </c>
      <c r="B2" s="2" t="inlineStr">
        <is>
          <t xml:space="preserve">Canada</t>
        </is>
      </c>
      <c r="C2" s="2" t="inlineStr">
        <is>
          <t xml:space="preserve">Direct + Transfer</t>
        </is>
      </c>
      <c r="D2" s="11" t="inlineStr">
        <is>
          <t xml:space="preserve">3A</t>
        </is>
      </c>
      <c r="E2" s="11"/>
      <c r="F2" s="11"/>
      <c r="G2" s="3"/>
      <c r="H2" s="11"/>
      <c r="I2" s="2"/>
      <c r="J2" s="2"/>
      <c r="K2" s="3"/>
    </row>
    <row r="3" ht="22" customHeight="1">
      <c r="A3" s="5" t="inlineStr">
        <is>
          <t xml:space="preserve">OpenText</t>
        </is>
      </c>
      <c r="B3" s="5" t="inlineStr">
        <is>
          <t xml:space="preserve">Canada</t>
        </is>
      </c>
      <c r="C3" s="5" t="inlineStr">
        <is>
          <t xml:space="preserve">Direct + Transfer</t>
        </is>
      </c>
      <c r="D3" s="13" t="inlineStr">
        <is>
          <t xml:space="preserve">3A</t>
        </is>
      </c>
      <c r="E3" s="13"/>
      <c r="F3" s="13"/>
      <c r="G3" s="12"/>
      <c r="H3" s="13"/>
      <c r="I3" s="5"/>
      <c r="J3" s="5"/>
      <c r="K3" s="12"/>
    </row>
    <row r="4" ht="22" customHeight="1">
      <c r="A4" s="2" t="inlineStr">
        <is>
          <t xml:space="preserve">Magnet Forensics</t>
        </is>
      </c>
      <c r="B4" s="2" t="inlineStr">
        <is>
          <t xml:space="preserve">Canada</t>
        </is>
      </c>
      <c r="C4" s="2" t="inlineStr">
        <is>
          <t xml:space="preserve">Direct</t>
        </is>
      </c>
      <c r="D4" s="11" t="inlineStr">
        <is>
          <t xml:space="preserve">3A</t>
        </is>
      </c>
      <c r="E4" s="11"/>
      <c r="F4" s="11"/>
      <c r="G4" s="3"/>
      <c r="H4" s="11"/>
      <c r="I4" s="2"/>
      <c r="J4" s="2"/>
      <c r="K4" s="3"/>
    </row>
    <row r="5" ht="22" customHeight="1">
      <c r="A5" s="5" t="inlineStr">
        <is>
          <t xml:space="preserve">Constellation Software</t>
        </is>
      </c>
      <c r="B5" s="5" t="inlineStr">
        <is>
          <t xml:space="preserve">Canada</t>
        </is>
      </c>
      <c r="C5" s="5" t="inlineStr">
        <is>
          <t xml:space="preserve">Direct</t>
        </is>
      </c>
      <c r="D5" s="13" t="inlineStr">
        <is>
          <t xml:space="preserve">3A</t>
        </is>
      </c>
      <c r="E5" s="13"/>
      <c r="F5" s="13"/>
      <c r="G5" s="12"/>
      <c r="H5" s="13"/>
      <c r="I5" s="5"/>
      <c r="J5" s="5"/>
      <c r="K5" s="12"/>
    </row>
    <row r="6" ht="22" customHeight="1">
      <c r="A6" s="2" t="inlineStr">
        <is>
          <t xml:space="preserve">Xero</t>
        </is>
      </c>
      <c r="B6" s="2" t="inlineStr">
        <is>
          <t xml:space="preserve">New Zealand</t>
        </is>
      </c>
      <c r="C6" s="2" t="inlineStr">
        <is>
          <t xml:space="preserve">Direct</t>
        </is>
      </c>
      <c r="D6" s="11" t="inlineStr">
        <is>
          <t xml:space="preserve">3B</t>
        </is>
      </c>
      <c r="E6" s="11"/>
      <c r="F6" s="11"/>
      <c r="G6" s="3"/>
      <c r="H6" s="11"/>
      <c r="I6" s="2"/>
      <c r="J6" s="2"/>
      <c r="K6" s="3"/>
    </row>
    <row r="7" ht="22" customHeight="1">
      <c r="A7" s="5" t="inlineStr">
        <is>
          <t xml:space="preserve">Datacom</t>
        </is>
      </c>
      <c r="B7" s="5" t="inlineStr">
        <is>
          <t xml:space="preserve">New Zealand</t>
        </is>
      </c>
      <c r="C7" s="5" t="inlineStr">
        <is>
          <t xml:space="preserve">Direct</t>
        </is>
      </c>
      <c r="D7" s="13" t="inlineStr">
        <is>
          <t xml:space="preserve">3B</t>
        </is>
      </c>
      <c r="E7" s="13"/>
      <c r="F7" s="13"/>
      <c r="G7" s="12"/>
      <c r="H7" s="13"/>
      <c r="I7" s="5"/>
      <c r="J7" s="5"/>
      <c r="K7" s="12"/>
    </row>
    <row r="8" ht="22" customHeight="1">
      <c r="A8" s="2" t="inlineStr">
        <is>
          <t xml:space="preserve">Nuix</t>
        </is>
      </c>
      <c r="B8" s="2" t="inlineStr">
        <is>
          <t xml:space="preserve">Australia</t>
        </is>
      </c>
      <c r="C8" s="2" t="inlineStr">
        <is>
          <t xml:space="preserve">Direct</t>
        </is>
      </c>
      <c r="D8" s="11" t="inlineStr">
        <is>
          <t xml:space="preserve">3C</t>
        </is>
      </c>
      <c r="E8" s="11"/>
      <c r="F8" s="11"/>
      <c r="G8" s="3"/>
      <c r="H8" s="11"/>
      <c r="I8" s="2"/>
      <c r="J8" s="2"/>
      <c r="K8" s="3"/>
    </row>
    <row r="9" ht="22" customHeight="1">
      <c r="A9" s="5" t="inlineStr">
        <is>
          <t xml:space="preserve">Objective Corporation</t>
        </is>
      </c>
      <c r="B9" s="5" t="inlineStr">
        <is>
          <t xml:space="preserve">Australia</t>
        </is>
      </c>
      <c r="C9" s="5" t="inlineStr">
        <is>
          <t xml:space="preserve">Direct</t>
        </is>
      </c>
      <c r="D9" s="13" t="inlineStr">
        <is>
          <t xml:space="preserve">3C</t>
        </is>
      </c>
      <c r="E9" s="13"/>
      <c r="F9" s="13"/>
      <c r="G9" s="12"/>
      <c r="H9" s="13"/>
      <c r="I9" s="5"/>
      <c r="J9" s="5"/>
      <c r="K9" s="12"/>
    </row>
    <row r="10" ht="22" customHeight="1">
      <c r="A10" s="2" t="inlineStr">
        <is>
          <t xml:space="preserve">WiseTech Global</t>
        </is>
      </c>
      <c r="B10" s="2" t="inlineStr">
        <is>
          <t xml:space="preserve">Australia</t>
        </is>
      </c>
      <c r="C10" s="2" t="inlineStr">
        <is>
          <t xml:space="preserve">Direct</t>
        </is>
      </c>
      <c r="D10" s="11" t="inlineStr">
        <is>
          <t xml:space="preserve">3C</t>
        </is>
      </c>
      <c r="E10" s="11"/>
      <c r="F10" s="11"/>
      <c r="G10" s="3"/>
      <c r="H10" s="11"/>
      <c r="I10" s="2"/>
      <c r="J10" s="2"/>
      <c r="K10" s="3"/>
    </row>
    <row r="11" ht="22" customHeight="1">
      <c r="A11" s="5" t="inlineStr">
        <is>
          <t xml:space="preserve">Microsoft Dublin</t>
        </is>
      </c>
      <c r="B11" s="5" t="inlineStr">
        <is>
          <t xml:space="preserve">Ireland</t>
        </is>
      </c>
      <c r="C11" s="5" t="inlineStr">
        <is>
          <t xml:space="preserve">Direct + Transfer</t>
        </is>
      </c>
      <c r="D11" s="13" t="inlineStr">
        <is>
          <t xml:space="preserve">3E</t>
        </is>
      </c>
      <c r="E11" s="13"/>
      <c r="F11" s="13"/>
      <c r="G11" s="12"/>
      <c r="H11" s="13"/>
      <c r="I11" s="5"/>
      <c r="J11" s="5"/>
      <c r="K11" s="12"/>
    </row>
    <row r="12" ht="22" customHeight="1">
      <c r="A12" s="2" t="inlineStr">
        <is>
          <t xml:space="preserve">Fidelity Investments</t>
        </is>
      </c>
      <c r="B12" s="2" t="inlineStr">
        <is>
          <t xml:space="preserve">Ireland</t>
        </is>
      </c>
      <c r="C12" s="2" t="inlineStr">
        <is>
          <t xml:space="preserve">Direct + Transfer</t>
        </is>
      </c>
      <c r="D12" s="11" t="inlineStr">
        <is>
          <t xml:space="preserve">3E</t>
        </is>
      </c>
      <c r="E12" s="11"/>
      <c r="F12" s="11"/>
      <c r="G12" s="3"/>
      <c r="H12" s="11"/>
      <c r="I12" s="2"/>
      <c r="J12" s="2"/>
      <c r="K12" s="3"/>
    </row>
    <row r="13" ht="22" customHeight="1">
      <c r="A13" s="5" t="inlineStr">
        <is>
          <t xml:space="preserve">Version 1</t>
        </is>
      </c>
      <c r="B13" s="5" t="inlineStr">
        <is>
          <t xml:space="preserve">Ireland</t>
        </is>
      </c>
      <c r="C13" s="5" t="inlineStr">
        <is>
          <t xml:space="preserve">Direct + Transfer</t>
        </is>
      </c>
      <c r="D13" s="13" t="inlineStr">
        <is>
          <t xml:space="preserve">3E</t>
        </is>
      </c>
      <c r="E13" s="13"/>
      <c r="F13" s="13"/>
      <c r="G13" s="12"/>
      <c r="H13" s="13"/>
      <c r="I13" s="5"/>
      <c r="J13" s="5"/>
      <c r="K13" s="12"/>
    </row>
    <row r="14" ht="22" customHeight="1">
      <c r="A14" s="2" t="inlineStr">
        <is>
          <t xml:space="preserve">ASML</t>
        </is>
      </c>
      <c r="B14" s="2" t="inlineStr">
        <is>
          <t xml:space="preserve">Netherlands</t>
        </is>
      </c>
      <c r="C14" s="2" t="inlineStr">
        <is>
          <t xml:space="preserve">Direct</t>
        </is>
      </c>
      <c r="D14" s="11" t="inlineStr">
        <is>
          <t xml:space="preserve">3F</t>
        </is>
      </c>
      <c r="E14" s="11"/>
      <c r="F14" s="11"/>
      <c r="G14" s="3"/>
      <c r="H14" s="11"/>
      <c r="I14" s="2"/>
      <c r="J14" s="2"/>
      <c r="K14" s="3"/>
    </row>
    <row r="15" ht="22" customHeight="1">
      <c r="A15" s="5" t="inlineStr">
        <is>
          <t xml:space="preserve">Visma</t>
        </is>
      </c>
      <c r="B15" s="5" t="inlineStr">
        <is>
          <t xml:space="preserve">Nordics</t>
        </is>
      </c>
      <c r="C15" s="5" t="inlineStr">
        <is>
          <t xml:space="preserve">Direct</t>
        </is>
      </c>
      <c r="D15" s="13" t="inlineStr">
        <is>
          <t xml:space="preserve">3G</t>
        </is>
      </c>
      <c r="E15" s="13"/>
      <c r="F15" s="13"/>
      <c r="G15" s="12"/>
      <c r="H15" s="13"/>
      <c r="I15" s="5"/>
      <c r="J15" s="5"/>
      <c r="K15" s="12"/>
    </row>
    <row r="16" ht="22" customHeight="1">
      <c r="A16" s="2" t="inlineStr">
        <is>
          <t xml:space="preserve">EPAM</t>
        </is>
      </c>
      <c r="B16" s="2" t="inlineStr">
        <is>
          <t xml:space="preserve">Poland</t>
        </is>
      </c>
      <c r="C16" s="2" t="inlineStr">
        <is>
          <t xml:space="preserve">Direct + Transfer</t>
        </is>
      </c>
      <c r="D16" s="11" t="inlineStr">
        <is>
          <t xml:space="preserve">3I</t>
        </is>
      </c>
      <c r="E16" s="11"/>
      <c r="F16" s="11"/>
      <c r="G16" s="3"/>
      <c r="H16" s="11"/>
      <c r="I16" s="2"/>
      <c r="J16" s="2"/>
      <c r="K16" s="3"/>
    </row>
    <row r="17" ht="22" customHeight="1">
      <c r="A17" s="5" t="inlineStr">
        <is>
          <t xml:space="preserve">Relativity</t>
        </is>
      </c>
      <c r="B17" s="5" t="inlineStr">
        <is>
          <t xml:space="preserve">US / Poland</t>
        </is>
      </c>
      <c r="C17" s="5" t="inlineStr">
        <is>
          <t xml:space="preserve">Direct</t>
        </is>
      </c>
      <c r="D17" s="13" t="inlineStr">
        <is>
          <t xml:space="preserve">3K</t>
        </is>
      </c>
      <c r="E17" s="13"/>
      <c r="F17" s="13"/>
      <c r="G17" s="12"/>
      <c r="H17" s="13"/>
      <c r="I17" s="5"/>
      <c r="J17" s="5"/>
      <c r="K17" s="12"/>
    </row>
    <row r="18" ht="22" customHeight="1">
      <c r="A18" s="2" t="inlineStr">
        <is>
          <t xml:space="preserve">Casepoint US (L-1)</t>
        </is>
      </c>
      <c r="B18" s="2" t="inlineStr">
        <is>
          <t xml:space="preserve">US</t>
        </is>
      </c>
      <c r="C18" s="2" t="inlineStr">
        <is>
          <t xml:space="preserve">Transfer</t>
        </is>
      </c>
      <c r="D18" s="11" t="inlineStr">
        <is>
          <t xml:space="preserve">3K</t>
        </is>
      </c>
      <c r="E18" s="11"/>
      <c r="F18" s="11"/>
      <c r="G18" s="3"/>
      <c r="H18" s="11"/>
      <c r="I18" s="2"/>
      <c r="J18" s="2"/>
      <c r="K18" s="3"/>
    </row>
    <row r="19">
      <c r="A19" s="2"/>
      <c r="B19" s="2"/>
      <c r="C19" s="2"/>
      <c r="D19" s="11"/>
      <c r="E19" s="11"/>
      <c r="F19" s="11"/>
      <c r="G19" s="3"/>
      <c r="H19" s="11"/>
      <c r="I19" s="2"/>
      <c r="J19" s="2"/>
      <c r="K19" s="3"/>
    </row>
    <row r="20">
      <c r="A20" s="2"/>
      <c r="B20" s="2"/>
      <c r="C20" s="2"/>
      <c r="D20" s="11"/>
      <c r="E20" s="11"/>
      <c r="F20" s="11"/>
      <c r="G20" s="3"/>
      <c r="H20" s="11"/>
      <c r="I20" s="2"/>
      <c r="J20" s="2"/>
      <c r="K20" s="3"/>
    </row>
    <row r="21">
      <c r="A21" s="2"/>
      <c r="B21" s="2"/>
      <c r="C21" s="2"/>
      <c r="D21" s="11"/>
      <c r="E21" s="11"/>
      <c r="F21" s="11"/>
      <c r="G21" s="3"/>
      <c r="H21" s="11"/>
      <c r="I21" s="2"/>
      <c r="J21" s="2"/>
      <c r="K21" s="3"/>
    </row>
    <row r="22">
      <c r="A22" s="2"/>
      <c r="B22" s="2"/>
      <c r="C22" s="2"/>
      <c r="D22" s="11"/>
      <c r="E22" s="11"/>
      <c r="F22" s="11"/>
      <c r="G22" s="3"/>
      <c r="H22" s="11"/>
      <c r="I22" s="2"/>
      <c r="J22" s="2"/>
      <c r="K22" s="3"/>
    </row>
    <row r="23">
      <c r="A23" s="2"/>
      <c r="B23" s="2"/>
      <c r="C23" s="2"/>
      <c r="D23" s="11"/>
      <c r="E23" s="11"/>
      <c r="F23" s="11"/>
      <c r="G23" s="3"/>
      <c r="H23" s="11"/>
      <c r="I23" s="2"/>
      <c r="J23" s="2"/>
      <c r="K23" s="3"/>
    </row>
    <row r="24">
      <c r="A24" s="2"/>
      <c r="B24" s="2"/>
      <c r="C24" s="2"/>
      <c r="D24" s="11"/>
      <c r="E24" s="11"/>
      <c r="F24" s="11"/>
      <c r="G24" s="3"/>
      <c r="H24" s="11"/>
      <c r="I24" s="2"/>
      <c r="J24" s="2"/>
      <c r="K24" s="3"/>
    </row>
    <row r="25">
      <c r="A25" s="2"/>
      <c r="B25" s="2"/>
      <c r="C25" s="2"/>
      <c r="D25" s="11"/>
      <c r="E25" s="11"/>
      <c r="F25" s="11"/>
      <c r="G25" s="3"/>
      <c r="H25" s="11"/>
      <c r="I25" s="2"/>
      <c r="J25" s="2"/>
      <c r="K25" s="3"/>
    </row>
    <row r="26">
      <c r="A26" s="2"/>
      <c r="B26" s="2"/>
      <c r="C26" s="2"/>
      <c r="D26" s="11"/>
      <c r="E26" s="11"/>
      <c r="F26" s="11"/>
      <c r="G26" s="3"/>
      <c r="H26" s="11"/>
      <c r="I26" s="2"/>
      <c r="J26" s="2"/>
      <c r="K26" s="3"/>
    </row>
    <row r="27">
      <c r="A27" s="2"/>
      <c r="B27" s="2"/>
      <c r="C27" s="2"/>
      <c r="D27" s="11"/>
      <c r="E27" s="11"/>
      <c r="F27" s="11"/>
      <c r="G27" s="3"/>
      <c r="H27" s="11"/>
      <c r="I27" s="2"/>
      <c r="J27" s="2"/>
      <c r="K27" s="3"/>
    </row>
    <row r="28">
      <c r="A28" s="2"/>
      <c r="B28" s="2"/>
      <c r="C28" s="2"/>
      <c r="D28" s="11"/>
      <c r="E28" s="11"/>
      <c r="F28" s="11"/>
      <c r="G28" s="3"/>
      <c r="H28" s="11"/>
      <c r="I28" s="2"/>
      <c r="J28" s="2"/>
      <c r="K28" s="3"/>
    </row>
    <row r="29">
      <c r="A29" s="2"/>
      <c r="B29" s="2"/>
      <c r="C29" s="2"/>
      <c r="D29" s="11"/>
      <c r="E29" s="11"/>
      <c r="F29" s="11"/>
      <c r="G29" s="3"/>
      <c r="H29" s="11"/>
      <c r="I29" s="2"/>
      <c r="J29" s="2"/>
      <c r="K29" s="3"/>
    </row>
    <row r="30">
      <c r="A30" s="2"/>
      <c r="B30" s="2"/>
      <c r="C30" s="2"/>
      <c r="D30" s="11"/>
      <c r="E30" s="11"/>
      <c r="F30" s="11"/>
      <c r="G30" s="3"/>
      <c r="H30" s="11"/>
      <c r="I30" s="2"/>
      <c r="J30" s="2"/>
      <c r="K30" s="3"/>
    </row>
    <row r="31">
      <c r="A31" s="2"/>
      <c r="B31" s="2"/>
      <c r="C31" s="2"/>
      <c r="D31" s="11"/>
      <c r="E31" s="11"/>
      <c r="F31" s="11"/>
      <c r="G31" s="3"/>
      <c r="H31" s="11"/>
      <c r="I31" s="2"/>
      <c r="J31" s="2"/>
      <c r="K31" s="3"/>
    </row>
    <row r="32">
      <c r="A32" s="2"/>
      <c r="B32" s="2"/>
      <c r="C32" s="2"/>
      <c r="D32" s="11"/>
      <c r="E32" s="11"/>
      <c r="F32" s="11"/>
      <c r="G32" s="3"/>
      <c r="H32" s="11"/>
      <c r="I32" s="2"/>
      <c r="J32" s="2"/>
      <c r="K32" s="3"/>
    </row>
    <row r="33">
      <c r="A33" s="2"/>
      <c r="B33" s="2"/>
      <c r="C33" s="2"/>
      <c r="D33" s="11"/>
      <c r="E33" s="11"/>
      <c r="F33" s="11"/>
      <c r="G33" s="3"/>
      <c r="H33" s="11"/>
      <c r="I33" s="2"/>
      <c r="J33" s="2"/>
      <c r="K33" s="3"/>
    </row>
    <row r="34">
      <c r="A34" s="2"/>
      <c r="B34" s="2"/>
      <c r="C34" s="2"/>
      <c r="D34" s="11"/>
      <c r="E34" s="11"/>
      <c r="F34" s="11"/>
      <c r="G34" s="3"/>
      <c r="H34" s="11"/>
      <c r="I34" s="2"/>
      <c r="J34" s="2"/>
      <c r="K34" s="3"/>
    </row>
    <row r="35">
      <c r="A35" s="2"/>
      <c r="B35" s="2"/>
      <c r="C35" s="2"/>
      <c r="D35" s="11"/>
      <c r="E35" s="11"/>
      <c r="F35" s="11"/>
      <c r="G35" s="3"/>
      <c r="H35" s="11"/>
      <c r="I35" s="2"/>
      <c r="J35" s="2"/>
      <c r="K35" s="3"/>
    </row>
    <row r="36">
      <c r="A36" s="2"/>
      <c r="B36" s="2"/>
      <c r="C36" s="2"/>
      <c r="D36" s="11"/>
      <c r="E36" s="11"/>
      <c r="F36" s="11"/>
      <c r="G36" s="3"/>
      <c r="H36" s="11"/>
      <c r="I36" s="2"/>
      <c r="J36" s="2"/>
      <c r="K36" s="3"/>
    </row>
    <row r="37">
      <c r="A37" s="2"/>
      <c r="B37" s="2"/>
      <c r="C37" s="2"/>
      <c r="D37" s="11"/>
      <c r="E37" s="11"/>
      <c r="F37" s="11"/>
      <c r="G37" s="3"/>
      <c r="H37" s="11"/>
      <c r="I37" s="2"/>
      <c r="J37" s="2"/>
      <c r="K37" s="3"/>
    </row>
    <row r="38">
      <c r="A38" s="2"/>
      <c r="B38" s="2"/>
      <c r="C38" s="2"/>
      <c r="D38" s="11"/>
      <c r="E38" s="11"/>
      <c r="F38" s="11"/>
      <c r="G38" s="3"/>
      <c r="H38" s="11"/>
      <c r="I38" s="2"/>
      <c r="J38" s="2"/>
      <c r="K38" s="3"/>
    </row>
    <row r="39">
      <c r="A39" s="2"/>
      <c r="B39" s="2"/>
      <c r="C39" s="2"/>
      <c r="D39" s="11"/>
      <c r="E39" s="11"/>
      <c r="F39" s="11"/>
      <c r="G39" s="3"/>
      <c r="H39" s="11"/>
      <c r="I39" s="2"/>
      <c r="J39" s="2"/>
      <c r="K39" s="3"/>
    </row>
    <row r="40">
      <c r="A40" s="2"/>
      <c r="B40" s="2"/>
      <c r="C40" s="2"/>
      <c r="D40" s="11"/>
      <c r="E40" s="11"/>
      <c r="F40" s="11"/>
      <c r="G40" s="3"/>
      <c r="H40" s="11"/>
      <c r="I40" s="2"/>
      <c r="J40" s="2"/>
      <c r="K40" s="3"/>
    </row>
    <row r="41">
      <c r="A41" s="2"/>
      <c r="B41" s="2"/>
      <c r="C41" s="2"/>
      <c r="D41" s="11"/>
      <c r="E41" s="11"/>
      <c r="F41" s="11"/>
      <c r="G41" s="3"/>
      <c r="H41" s="11"/>
      <c r="I41" s="2"/>
      <c r="J41" s="2"/>
      <c r="K41" s="3"/>
    </row>
    <row r="42">
      <c r="A42" s="2"/>
      <c r="B42" s="2"/>
      <c r="C42" s="2"/>
      <c r="D42" s="11"/>
      <c r="E42" s="11"/>
      <c r="F42" s="11"/>
      <c r="G42" s="3"/>
      <c r="H42" s="11"/>
      <c r="I42" s="2"/>
      <c r="J42" s="2"/>
      <c r="K42" s="3"/>
    </row>
    <row r="43">
      <c r="A43" s="2"/>
      <c r="B43" s="2"/>
      <c r="C43" s="2"/>
      <c r="D43" s="11"/>
      <c r="E43" s="11"/>
      <c r="F43" s="11"/>
      <c r="G43" s="3"/>
      <c r="H43" s="11"/>
      <c r="I43" s="2"/>
      <c r="J43" s="2"/>
      <c r="K43" s="3"/>
    </row>
    <row r="44">
      <c r="A44" s="2"/>
      <c r="B44" s="2"/>
      <c r="C44" s="2"/>
      <c r="D44" s="11"/>
      <c r="E44" s="11"/>
      <c r="F44" s="11"/>
      <c r="G44" s="3"/>
      <c r="H44" s="11"/>
      <c r="I44" s="2"/>
      <c r="J44" s="2"/>
      <c r="K44" s="3"/>
    </row>
    <row r="45">
      <c r="A45" s="2"/>
      <c r="B45" s="2"/>
      <c r="C45" s="2"/>
      <c r="D45" s="11"/>
      <c r="E45" s="11"/>
      <c r="F45" s="11"/>
      <c r="G45" s="3"/>
      <c r="H45" s="11"/>
      <c r="I45" s="2"/>
      <c r="J45" s="2"/>
      <c r="K45" s="3"/>
    </row>
    <row r="46">
      <c r="A46" s="2"/>
      <c r="B46" s="2"/>
      <c r="C46" s="2"/>
      <c r="D46" s="11"/>
      <c r="E46" s="11"/>
      <c r="F46" s="11"/>
      <c r="G46" s="3"/>
      <c r="H46" s="11"/>
      <c r="I46" s="2"/>
      <c r="J46" s="2"/>
      <c r="K46" s="3"/>
    </row>
    <row r="47">
      <c r="A47" s="2"/>
      <c r="B47" s="2"/>
      <c r="C47" s="2"/>
      <c r="D47" s="11"/>
      <c r="E47" s="11"/>
      <c r="F47" s="11"/>
      <c r="G47" s="3"/>
      <c r="H47" s="11"/>
      <c r="I47" s="2"/>
      <c r="J47" s="2"/>
      <c r="K47" s="3"/>
    </row>
    <row r="48">
      <c r="A48" s="2"/>
      <c r="B48" s="2"/>
      <c r="C48" s="2"/>
      <c r="D48" s="11"/>
      <c r="E48" s="11"/>
      <c r="F48" s="11"/>
      <c r="G48" s="3"/>
      <c r="H48" s="11"/>
      <c r="I48" s="2"/>
      <c r="J48" s="2"/>
      <c r="K48" s="3"/>
    </row>
    <row r="49">
      <c r="A49" s="2"/>
      <c r="B49" s="2"/>
      <c r="C49" s="2"/>
      <c r="D49" s="11"/>
      <c r="E49" s="11"/>
      <c r="F49" s="11"/>
      <c r="G49" s="3"/>
      <c r="H49" s="11"/>
      <c r="I49" s="2"/>
      <c r="J49" s="2"/>
      <c r="K49" s="3"/>
    </row>
    <row r="50">
      <c r="A50" s="2"/>
      <c r="B50" s="2"/>
      <c r="C50" s="2"/>
      <c r="D50" s="11"/>
      <c r="E50" s="11"/>
      <c r="F50" s="11"/>
      <c r="G50" s="3"/>
      <c r="H50" s="11"/>
      <c r="I50" s="2"/>
      <c r="J50" s="2"/>
      <c r="K50" s="3"/>
    </row>
    <row r="51">
      <c r="A51" s="2"/>
      <c r="B51" s="2"/>
      <c r="C51" s="2"/>
      <c r="D51" s="11"/>
      <c r="E51" s="11"/>
      <c r="F51" s="11"/>
      <c r="G51" s="3"/>
      <c r="H51" s="11"/>
      <c r="I51" s="2"/>
      <c r="J51" s="2"/>
      <c r="K51" s="3"/>
    </row>
    <row r="52">
      <c r="A52" s="2"/>
      <c r="B52" s="2"/>
      <c r="C52" s="2"/>
      <c r="D52" s="11"/>
      <c r="E52" s="11"/>
      <c r="F52" s="11"/>
      <c r="G52" s="3"/>
      <c r="H52" s="11"/>
      <c r="I52" s="2"/>
      <c r="J52" s="2"/>
      <c r="K52" s="3"/>
    </row>
    <row r="53">
      <c r="A53" s="2"/>
      <c r="B53" s="2"/>
      <c r="C53" s="2"/>
      <c r="D53" s="11"/>
      <c r="E53" s="11"/>
      <c r="F53" s="11"/>
      <c r="G53" s="3"/>
      <c r="H53" s="11"/>
      <c r="I53" s="2"/>
      <c r="J53" s="2"/>
      <c r="K53" s="3"/>
    </row>
    <row r="54">
      <c r="A54" s="2"/>
      <c r="B54" s="2"/>
      <c r="C54" s="2"/>
      <c r="D54" s="11"/>
      <c r="E54" s="11"/>
      <c r="F54" s="11"/>
      <c r="G54" s="3"/>
      <c r="H54" s="11"/>
      <c r="I54" s="2"/>
      <c r="J54" s="2"/>
      <c r="K54" s="3"/>
    </row>
    <row r="55">
      <c r="A55" s="2"/>
      <c r="B55" s="2"/>
      <c r="C55" s="2"/>
      <c r="D55" s="11"/>
      <c r="E55" s="11"/>
      <c r="F55" s="11"/>
      <c r="G55" s="3"/>
      <c r="H55" s="11"/>
      <c r="I55" s="2"/>
      <c r="J55" s="2"/>
      <c r="K55" s="3"/>
    </row>
    <row r="56">
      <c r="A56" s="2"/>
      <c r="B56" s="2"/>
      <c r="C56" s="2"/>
      <c r="D56" s="11"/>
      <c r="E56" s="11"/>
      <c r="F56" s="11"/>
      <c r="G56" s="3"/>
      <c r="H56" s="11"/>
      <c r="I56" s="2"/>
      <c r="J56" s="2"/>
      <c r="K56" s="3"/>
    </row>
    <row r="57">
      <c r="A57" s="2"/>
      <c r="B57" s="2"/>
      <c r="C57" s="2"/>
      <c r="D57" s="11"/>
      <c r="E57" s="11"/>
      <c r="F57" s="11"/>
      <c r="G57" s="3"/>
      <c r="H57" s="11"/>
      <c r="I57" s="2"/>
      <c r="J57" s="2"/>
      <c r="K57" s="3"/>
    </row>
    <row r="58">
      <c r="A58" s="2"/>
      <c r="B58" s="2"/>
      <c r="C58" s="2"/>
      <c r="D58" s="11"/>
      <c r="E58" s="11"/>
      <c r="F58" s="11"/>
      <c r="G58" s="3"/>
      <c r="H58" s="11"/>
      <c r="I58" s="2"/>
      <c r="J58" s="2"/>
      <c r="K58" s="3"/>
    </row>
    <row r="59">
      <c r="A59" s="2"/>
      <c r="B59" s="2"/>
      <c r="C59" s="2"/>
      <c r="D59" s="11"/>
      <c r="E59" s="11"/>
      <c r="F59" s="11"/>
      <c r="G59" s="3"/>
      <c r="H59" s="11"/>
      <c r="I59" s="2"/>
      <c r="J59" s="2"/>
      <c r="K59" s="3"/>
    </row>
    <row r="60">
      <c r="A60" s="2"/>
      <c r="B60" s="2"/>
      <c r="C60" s="2"/>
      <c r="D60" s="11"/>
      <c r="E60" s="11"/>
      <c r="F60" s="11"/>
      <c r="G60" s="3"/>
      <c r="H60" s="11"/>
      <c r="I60" s="2"/>
      <c r="J60" s="2"/>
      <c r="K60" s="3"/>
    </row>
    <row r="61">
      <c r="A61" s="2"/>
      <c r="B61" s="2"/>
      <c r="C61" s="2"/>
      <c r="D61" s="11"/>
      <c r="E61" s="11"/>
      <c r="F61" s="11"/>
      <c r="G61" s="3"/>
      <c r="H61" s="11"/>
      <c r="I61" s="2"/>
      <c r="J61" s="2"/>
      <c r="K61" s="3"/>
    </row>
    <row r="62">
      <c r="A62" s="2"/>
      <c r="B62" s="2"/>
      <c r="C62" s="2"/>
      <c r="D62" s="11"/>
      <c r="E62" s="11"/>
      <c r="F62" s="11"/>
      <c r="G62" s="3"/>
      <c r="H62" s="11"/>
      <c r="I62" s="2"/>
      <c r="J62" s="2"/>
      <c r="K62" s="3"/>
    </row>
    <row r="63">
      <c r="A63" s="2"/>
      <c r="B63" s="2"/>
      <c r="C63" s="2"/>
      <c r="D63" s="11"/>
      <c r="E63" s="11"/>
      <c r="F63" s="11"/>
      <c r="G63" s="3"/>
      <c r="H63" s="11"/>
      <c r="I63" s="2"/>
      <c r="J63" s="2"/>
      <c r="K63" s="3"/>
    </row>
    <row r="64">
      <c r="A64" s="2"/>
      <c r="B64" s="2"/>
      <c r="C64" s="2"/>
      <c r="D64" s="11"/>
      <c r="E64" s="11"/>
      <c r="F64" s="11"/>
      <c r="G64" s="3"/>
      <c r="H64" s="11"/>
      <c r="I64" s="2"/>
      <c r="J64" s="2"/>
      <c r="K64" s="3"/>
    </row>
    <row r="65">
      <c r="A65" s="2"/>
      <c r="B65" s="2"/>
      <c r="C65" s="2"/>
      <c r="D65" s="11"/>
      <c r="E65" s="11"/>
      <c r="F65" s="11"/>
      <c r="G65" s="3"/>
      <c r="H65" s="11"/>
      <c r="I65" s="2"/>
      <c r="J65" s="2"/>
      <c r="K65" s="3"/>
    </row>
    <row r="66">
      <c r="A66" s="2"/>
      <c r="B66" s="2"/>
      <c r="C66" s="2"/>
      <c r="D66" s="11"/>
      <c r="E66" s="11"/>
      <c r="F66" s="11"/>
      <c r="G66" s="3"/>
      <c r="H66" s="11"/>
      <c r="I66" s="2"/>
      <c r="J66" s="2"/>
      <c r="K66" s="3"/>
    </row>
    <row r="67">
      <c r="A67" s="2"/>
      <c r="B67" s="2"/>
      <c r="C67" s="2"/>
      <c r="D67" s="11"/>
      <c r="E67" s="11"/>
      <c r="F67" s="11"/>
      <c r="G67" s="3"/>
      <c r="H67" s="11"/>
      <c r="I67" s="2"/>
      <c r="J67" s="2"/>
      <c r="K67" s="3"/>
    </row>
    <row r="68">
      <c r="A68" s="2"/>
      <c r="B68" s="2"/>
      <c r="C68" s="2"/>
      <c r="D68" s="11"/>
      <c r="E68" s="11"/>
      <c r="F68" s="11"/>
      <c r="G68" s="3"/>
      <c r="H68" s="11"/>
      <c r="I68" s="2"/>
      <c r="J68" s="2"/>
      <c r="K68" s="3"/>
    </row>
    <row r="69">
      <c r="A69" s="2"/>
      <c r="B69" s="2"/>
      <c r="C69" s="2"/>
      <c r="D69" s="11"/>
      <c r="E69" s="11"/>
      <c r="F69" s="11"/>
      <c r="G69" s="3"/>
      <c r="H69" s="11"/>
      <c r="I69" s="2"/>
      <c r="J69" s="2"/>
      <c r="K69" s="3"/>
    </row>
    <row r="70">
      <c r="A70" s="2"/>
      <c r="B70" s="2"/>
      <c r="C70" s="2"/>
      <c r="D70" s="11"/>
      <c r="E70" s="11"/>
      <c r="F70" s="11"/>
      <c r="G70" s="3"/>
      <c r="H70" s="11"/>
      <c r="I70" s="2"/>
      <c r="J70" s="2"/>
      <c r="K70" s="3"/>
    </row>
    <row r="71">
      <c r="A71" s="2"/>
      <c r="B71" s="2"/>
      <c r="C71" s="2"/>
      <c r="D71" s="11"/>
      <c r="E71" s="11"/>
      <c r="F71" s="11"/>
      <c r="G71" s="3"/>
      <c r="H71" s="11"/>
      <c r="I71" s="2"/>
      <c r="J71" s="2"/>
      <c r="K71" s="3"/>
    </row>
    <row r="72">
      <c r="A72" s="2"/>
      <c r="B72" s="2"/>
      <c r="C72" s="2"/>
      <c r="D72" s="11"/>
      <c r="E72" s="11"/>
      <c r="F72" s="11"/>
      <c r="G72" s="3"/>
      <c r="H72" s="11"/>
      <c r="I72" s="2"/>
      <c r="J72" s="2"/>
      <c r="K72" s="3"/>
    </row>
    <row r="73">
      <c r="A73" s="2"/>
      <c r="B73" s="2"/>
      <c r="C73" s="2"/>
      <c r="D73" s="11"/>
      <c r="E73" s="11"/>
      <c r="F73" s="11"/>
      <c r="G73" s="3"/>
      <c r="H73" s="11"/>
      <c r="I73" s="2"/>
      <c r="J73" s="2"/>
      <c r="K73" s="3"/>
    </row>
    <row r="74">
      <c r="A74" s="2"/>
      <c r="B74" s="2"/>
      <c r="C74" s="2"/>
      <c r="D74" s="11"/>
      <c r="E74" s="11"/>
      <c r="F74" s="11"/>
      <c r="G74" s="3"/>
      <c r="H74" s="11"/>
      <c r="I74" s="2"/>
      <c r="J74" s="2"/>
      <c r="K74" s="3"/>
    </row>
    <row r="75">
      <c r="A75" s="2"/>
      <c r="B75" s="2"/>
      <c r="C75" s="2"/>
      <c r="D75" s="11"/>
      <c r="E75" s="11"/>
      <c r="F75" s="11"/>
      <c r="G75" s="3"/>
      <c r="H75" s="11"/>
      <c r="I75" s="2"/>
      <c r="J75" s="2"/>
      <c r="K75" s="3"/>
    </row>
    <row r="76">
      <c r="A76" s="2"/>
      <c r="B76" s="2"/>
      <c r="C76" s="2"/>
      <c r="D76" s="11"/>
      <c r="E76" s="11"/>
      <c r="F76" s="11"/>
      <c r="G76" s="3"/>
      <c r="H76" s="11"/>
      <c r="I76" s="2"/>
      <c r="J76" s="2"/>
      <c r="K76" s="3"/>
    </row>
    <row r="77">
      <c r="A77" s="2"/>
      <c r="B77" s="2"/>
      <c r="C77" s="2"/>
      <c r="D77" s="11"/>
      <c r="E77" s="11"/>
      <c r="F77" s="11"/>
      <c r="G77" s="3"/>
      <c r="H77" s="11"/>
      <c r="I77" s="2"/>
      <c r="J77" s="2"/>
      <c r="K77" s="3"/>
    </row>
    <row r="78">
      <c r="A78" s="2"/>
      <c r="B78" s="2"/>
      <c r="C78" s="2"/>
      <c r="D78" s="11"/>
      <c r="E78" s="11"/>
      <c r="F78" s="11"/>
      <c r="G78" s="3"/>
      <c r="H78" s="11"/>
      <c r="I78" s="2"/>
      <c r="J78" s="2"/>
      <c r="K78" s="3"/>
    </row>
    <row r="79">
      <c r="A79" s="2"/>
      <c r="B79" s="2"/>
      <c r="C79" s="2"/>
      <c r="D79" s="11"/>
      <c r="E79" s="11"/>
      <c r="F79" s="11"/>
      <c r="G79" s="3"/>
      <c r="H79" s="11"/>
      <c r="I79" s="2"/>
      <c r="J79" s="2"/>
      <c r="K79" s="3"/>
    </row>
    <row r="80">
      <c r="A80" s="2"/>
      <c r="B80" s="2"/>
      <c r="C80" s="2"/>
      <c r="D80" s="11"/>
      <c r="E80" s="11"/>
      <c r="F80" s="11"/>
      <c r="G80" s="3"/>
      <c r="H80" s="11"/>
      <c r="I80" s="2"/>
      <c r="J80" s="2"/>
      <c r="K80" s="3"/>
    </row>
    <row r="81">
      <c r="A81" s="2"/>
      <c r="B81" s="2"/>
      <c r="C81" s="2"/>
      <c r="D81" s="11"/>
      <c r="E81" s="11"/>
      <c r="F81" s="11"/>
      <c r="G81" s="3"/>
      <c r="H81" s="11"/>
      <c r="I81" s="2"/>
      <c r="J81" s="2"/>
      <c r="K81" s="3"/>
    </row>
    <row r="82">
      <c r="A82" s="2"/>
      <c r="B82" s="2"/>
      <c r="C82" s="2"/>
      <c r="D82" s="11"/>
      <c r="E82" s="11"/>
      <c r="F82" s="11"/>
      <c r="G82" s="3"/>
      <c r="H82" s="11"/>
      <c r="I82" s="2"/>
      <c r="J82" s="2"/>
      <c r="K82" s="3"/>
    </row>
    <row r="83">
      <c r="A83" s="2"/>
      <c r="B83" s="2"/>
      <c r="C83" s="2"/>
      <c r="D83" s="11"/>
      <c r="E83" s="11"/>
      <c r="F83" s="11"/>
      <c r="G83" s="3"/>
      <c r="H83" s="11"/>
      <c r="I83" s="2"/>
      <c r="J83" s="2"/>
      <c r="K83" s="3"/>
    </row>
    <row r="84">
      <c r="A84" s="2"/>
      <c r="B84" s="2"/>
      <c r="C84" s="2"/>
      <c r="D84" s="11"/>
      <c r="E84" s="11"/>
      <c r="F84" s="11"/>
      <c r="G84" s="3"/>
      <c r="H84" s="11"/>
      <c r="I84" s="2"/>
      <c r="J84" s="2"/>
      <c r="K84" s="3"/>
    </row>
    <row r="85">
      <c r="A85" s="2"/>
      <c r="B85" s="2"/>
      <c r="C85" s="2"/>
      <c r="D85" s="11"/>
      <c r="E85" s="11"/>
      <c r="F85" s="11"/>
      <c r="G85" s="3"/>
      <c r="H85" s="11"/>
      <c r="I85" s="2"/>
      <c r="J85" s="2"/>
      <c r="K85" s="3"/>
    </row>
    <row r="86">
      <c r="A86" s="2"/>
      <c r="B86" s="2"/>
      <c r="C86" s="2"/>
      <c r="D86" s="11"/>
      <c r="E86" s="11"/>
      <c r="F86" s="11"/>
      <c r="G86" s="3"/>
      <c r="H86" s="11"/>
      <c r="I86" s="2"/>
      <c r="J86" s="2"/>
      <c r="K86" s="3"/>
    </row>
    <row r="87">
      <c r="A87" s="2"/>
      <c r="B87" s="2"/>
      <c r="C87" s="2"/>
      <c r="D87" s="11"/>
      <c r="E87" s="11"/>
      <c r="F87" s="11"/>
      <c r="G87" s="3"/>
      <c r="H87" s="11"/>
      <c r="I87" s="2"/>
      <c r="J87" s="2"/>
      <c r="K87" s="3"/>
    </row>
    <row r="88">
      <c r="A88" s="2"/>
      <c r="B88" s="2"/>
      <c r="C88" s="2"/>
      <c r="D88" s="11"/>
      <c r="E88" s="11"/>
      <c r="F88" s="11"/>
      <c r="G88" s="3"/>
      <c r="H88" s="11"/>
      <c r="I88" s="2"/>
      <c r="J88" s="2"/>
      <c r="K88" s="3"/>
    </row>
    <row r="89">
      <c r="A89" s="2"/>
      <c r="B89" s="2"/>
      <c r="C89" s="2"/>
      <c r="D89" s="11"/>
      <c r="E89" s="11"/>
      <c r="F89" s="11"/>
      <c r="G89" s="3"/>
      <c r="H89" s="11"/>
      <c r="I89" s="2"/>
      <c r="J89" s="2"/>
      <c r="K89" s="3"/>
    </row>
    <row r="90">
      <c r="A90" s="2"/>
      <c r="B90" s="2"/>
      <c r="C90" s="2"/>
      <c r="D90" s="11"/>
      <c r="E90" s="11"/>
      <c r="F90" s="11"/>
      <c r="G90" s="3"/>
      <c r="H90" s="11"/>
      <c r="I90" s="2"/>
      <c r="J90" s="2"/>
      <c r="K90" s="3"/>
    </row>
    <row r="91">
      <c r="A91" s="2"/>
      <c r="B91" s="2"/>
      <c r="C91" s="2"/>
      <c r="D91" s="11"/>
      <c r="E91" s="11"/>
      <c r="F91" s="11"/>
      <c r="G91" s="3"/>
      <c r="H91" s="11"/>
      <c r="I91" s="2"/>
      <c r="J91" s="2"/>
      <c r="K91" s="3"/>
    </row>
    <row r="92">
      <c r="A92" s="2"/>
      <c r="B92" s="2"/>
      <c r="C92" s="2"/>
      <c r="D92" s="11"/>
      <c r="E92" s="11"/>
      <c r="F92" s="11"/>
      <c r="G92" s="3"/>
      <c r="H92" s="11"/>
      <c r="I92" s="2"/>
      <c r="J92" s="2"/>
      <c r="K92" s="3"/>
    </row>
    <row r="93">
      <c r="A93" s="2"/>
      <c r="B93" s="2"/>
      <c r="C93" s="2"/>
      <c r="D93" s="11"/>
      <c r="E93" s="11"/>
      <c r="F93" s="11"/>
      <c r="G93" s="3"/>
      <c r="H93" s="11"/>
      <c r="I93" s="2"/>
      <c r="J93" s="2"/>
      <c r="K93" s="3"/>
    </row>
    <row r="94">
      <c r="A94" s="2"/>
      <c r="B94" s="2"/>
      <c r="C94" s="2"/>
      <c r="D94" s="11"/>
      <c r="E94" s="11"/>
      <c r="F94" s="11"/>
      <c r="G94" s="3"/>
      <c r="H94" s="11"/>
      <c r="I94" s="2"/>
      <c r="J94" s="2"/>
      <c r="K94" s="3"/>
    </row>
    <row r="95">
      <c r="A95" s="2"/>
      <c r="B95" s="2"/>
      <c r="C95" s="2"/>
      <c r="D95" s="11"/>
      <c r="E95" s="11"/>
      <c r="F95" s="11"/>
      <c r="G95" s="3"/>
      <c r="H95" s="11"/>
      <c r="I95" s="2"/>
      <c r="J95" s="2"/>
      <c r="K95" s="3"/>
    </row>
    <row r="96">
      <c r="A96" s="2"/>
      <c r="B96" s="2"/>
      <c r="C96" s="2"/>
      <c r="D96" s="11"/>
      <c r="E96" s="11"/>
      <c r="F96" s="11"/>
      <c r="G96" s="3"/>
      <c r="H96" s="11"/>
      <c r="I96" s="2"/>
      <c r="J96" s="2"/>
      <c r="K96" s="3"/>
    </row>
    <row r="97">
      <c r="A97" s="2"/>
      <c r="B97" s="2"/>
      <c r="C97" s="2"/>
      <c r="D97" s="11"/>
      <c r="E97" s="11"/>
      <c r="F97" s="11"/>
      <c r="G97" s="3"/>
      <c r="H97" s="11"/>
      <c r="I97" s="2"/>
      <c r="J97" s="2"/>
      <c r="K97" s="3"/>
    </row>
    <row r="98">
      <c r="A98" s="2"/>
      <c r="B98" s="2"/>
      <c r="C98" s="2"/>
      <c r="D98" s="11"/>
      <c r="E98" s="11"/>
      <c r="F98" s="11"/>
      <c r="G98" s="3"/>
      <c r="H98" s="11"/>
      <c r="I98" s="2"/>
      <c r="J98" s="2"/>
      <c r="K98" s="3"/>
    </row>
    <row r="99">
      <c r="A99" s="2"/>
      <c r="B99" s="2"/>
      <c r="C99" s="2"/>
      <c r="D99" s="11"/>
      <c r="E99" s="11"/>
      <c r="F99" s="11"/>
      <c r="G99" s="3"/>
      <c r="H99" s="11"/>
      <c r="I99" s="2"/>
      <c r="J99" s="2"/>
      <c r="K99" s="3"/>
    </row>
    <row r="100">
      <c r="A100" s="2"/>
      <c r="B100" s="2"/>
      <c r="C100" s="2"/>
      <c r="D100" s="11"/>
      <c r="E100" s="11"/>
      <c r="F100" s="11"/>
      <c r="G100" s="3"/>
      <c r="H100" s="11"/>
      <c r="I100" s="2"/>
      <c r="J100" s="2"/>
      <c r="K100" s="3"/>
    </row>
    <row r="101">
      <c r="A101" s="2"/>
      <c r="B101" s="2"/>
      <c r="C101" s="2"/>
      <c r="D101" s="11"/>
      <c r="E101" s="11"/>
      <c r="F101" s="11"/>
      <c r="G101" s="3"/>
      <c r="H101" s="11"/>
      <c r="I101" s="2"/>
      <c r="J101" s="2"/>
      <c r="K101" s="3"/>
    </row>
    <row r="102">
      <c r="A102" s="2"/>
      <c r="B102" s="2"/>
      <c r="C102" s="2"/>
      <c r="D102" s="11"/>
      <c r="E102" s="11"/>
      <c r="F102" s="11"/>
      <c r="G102" s="3"/>
      <c r="H102" s="11"/>
      <c r="I102" s="2"/>
      <c r="J102" s="2"/>
      <c r="K102" s="3"/>
    </row>
    <row r="103">
      <c r="A103" s="2"/>
      <c r="B103" s="2"/>
      <c r="C103" s="2"/>
      <c r="D103" s="11"/>
      <c r="E103" s="11"/>
      <c r="F103" s="11"/>
      <c r="G103" s="3"/>
      <c r="H103" s="11"/>
      <c r="I103" s="2"/>
      <c r="J103" s="2"/>
      <c r="K103" s="3"/>
    </row>
    <row r="104">
      <c r="A104" s="2"/>
      <c r="B104" s="2"/>
      <c r="C104" s="2"/>
      <c r="D104" s="11"/>
      <c r="E104" s="11"/>
      <c r="F104" s="11"/>
      <c r="G104" s="3"/>
      <c r="H104" s="11"/>
      <c r="I104" s="2"/>
      <c r="J104" s="2"/>
      <c r="K104" s="3"/>
    </row>
    <row r="105">
      <c r="A105" s="2"/>
      <c r="B105" s="2"/>
      <c r="C105" s="2"/>
      <c r="D105" s="11"/>
      <c r="E105" s="11"/>
      <c r="F105" s="11"/>
      <c r="G105" s="3"/>
      <c r="H105" s="11"/>
      <c r="I105" s="2"/>
      <c r="J105" s="2"/>
      <c r="K105" s="3"/>
    </row>
    <row r="106">
      <c r="A106" s="2"/>
      <c r="B106" s="2"/>
      <c r="C106" s="2"/>
      <c r="D106" s="11"/>
      <c r="E106" s="11"/>
      <c r="F106" s="11"/>
      <c r="G106" s="3"/>
      <c r="H106" s="11"/>
      <c r="I106" s="2"/>
      <c r="J106" s="2"/>
      <c r="K106" s="3"/>
    </row>
    <row r="107">
      <c r="A107" s="2"/>
      <c r="B107" s="2"/>
      <c r="C107" s="2"/>
      <c r="D107" s="11"/>
      <c r="E107" s="11"/>
      <c r="F107" s="11"/>
      <c r="G107" s="3"/>
      <c r="H107" s="11"/>
      <c r="I107" s="2"/>
      <c r="J107" s="2"/>
      <c r="K107" s="3"/>
    </row>
    <row r="108">
      <c r="A108" s="2"/>
      <c r="B108" s="2"/>
      <c r="C108" s="2"/>
      <c r="D108" s="11"/>
      <c r="E108" s="11"/>
      <c r="F108" s="11"/>
      <c r="G108" s="3"/>
      <c r="H108" s="11"/>
      <c r="I108" s="2"/>
      <c r="J108" s="2"/>
      <c r="K108" s="3"/>
    </row>
    <row r="109">
      <c r="A109" s="2"/>
      <c r="B109" s="2"/>
      <c r="C109" s="2"/>
      <c r="D109" s="11"/>
      <c r="E109" s="11"/>
      <c r="F109" s="11"/>
      <c r="G109" s="3"/>
      <c r="H109" s="11"/>
      <c r="I109" s="2"/>
      <c r="J109" s="2"/>
      <c r="K109" s="3"/>
    </row>
    <row r="110">
      <c r="A110" s="2"/>
      <c r="B110" s="2"/>
      <c r="C110" s="2"/>
      <c r="D110" s="11"/>
      <c r="E110" s="11"/>
      <c r="F110" s="11"/>
      <c r="G110" s="3"/>
      <c r="H110" s="11"/>
      <c r="I110" s="2"/>
      <c r="J110" s="2"/>
      <c r="K110" s="3"/>
    </row>
    <row r="111">
      <c r="A111" s="2"/>
      <c r="B111" s="2"/>
      <c r="C111" s="2"/>
      <c r="D111" s="11"/>
      <c r="E111" s="11"/>
      <c r="F111" s="11"/>
      <c r="G111" s="3"/>
      <c r="H111" s="11"/>
      <c r="I111" s="2"/>
      <c r="J111" s="2"/>
      <c r="K111" s="3"/>
    </row>
    <row r="112">
      <c r="A112" s="2"/>
      <c r="B112" s="2"/>
      <c r="C112" s="2"/>
      <c r="D112" s="11"/>
      <c r="E112" s="11"/>
      <c r="F112" s="11"/>
      <c r="G112" s="3"/>
      <c r="H112" s="11"/>
      <c r="I112" s="2"/>
      <c r="J112" s="2"/>
      <c r="K112" s="3"/>
    </row>
    <row r="113">
      <c r="A113" s="2"/>
      <c r="B113" s="2"/>
      <c r="C113" s="2"/>
      <c r="D113" s="11"/>
      <c r="E113" s="11"/>
      <c r="F113" s="11"/>
      <c r="G113" s="3"/>
      <c r="H113" s="11"/>
      <c r="I113" s="2"/>
      <c r="J113" s="2"/>
      <c r="K113" s="3"/>
    </row>
    <row r="114">
      <c r="A114" s="2"/>
      <c r="B114" s="2"/>
      <c r="C114" s="2"/>
      <c r="D114" s="11"/>
      <c r="E114" s="11"/>
      <c r="F114" s="11"/>
      <c r="G114" s="3"/>
      <c r="H114" s="11"/>
      <c r="I114" s="2"/>
      <c r="J114" s="2"/>
      <c r="K114" s="3"/>
    </row>
    <row r="115">
      <c r="A115" s="2"/>
      <c r="B115" s="2"/>
      <c r="C115" s="2"/>
      <c r="D115" s="11"/>
      <c r="E115" s="11"/>
      <c r="F115" s="11"/>
      <c r="G115" s="3"/>
      <c r="H115" s="11"/>
      <c r="I115" s="2"/>
      <c r="J115" s="2"/>
      <c r="K115" s="3"/>
    </row>
    <row r="116">
      <c r="A116" s="2"/>
      <c r="B116" s="2"/>
      <c r="C116" s="2"/>
      <c r="D116" s="11"/>
      <c r="E116" s="11"/>
      <c r="F116" s="11"/>
      <c r="G116" s="3"/>
      <c r="H116" s="11"/>
      <c r="I116" s="2"/>
      <c r="J116" s="2"/>
      <c r="K116" s="3"/>
    </row>
    <row r="117">
      <c r="A117" s="2"/>
      <c r="B117" s="2"/>
      <c r="C117" s="2"/>
      <c r="D117" s="11"/>
      <c r="E117" s="11"/>
      <c r="F117" s="11"/>
      <c r="G117" s="3"/>
      <c r="H117" s="11"/>
      <c r="I117" s="2"/>
      <c r="J117" s="2"/>
      <c r="K117" s="3"/>
    </row>
    <row r="118">
      <c r="A118" s="2"/>
      <c r="B118" s="2"/>
      <c r="C118" s="2"/>
      <c r="D118" s="11"/>
      <c r="E118" s="11"/>
      <c r="F118" s="11"/>
      <c r="G118" s="3"/>
      <c r="H118" s="11"/>
      <c r="I118" s="2"/>
      <c r="J118" s="2"/>
      <c r="K118" s="3"/>
    </row>
    <row r="119">
      <c r="A119" s="2"/>
      <c r="B119" s="2"/>
      <c r="C119" s="2"/>
      <c r="D119" s="11"/>
      <c r="E119" s="11"/>
      <c r="F119" s="11"/>
      <c r="G119" s="3"/>
      <c r="H119" s="11"/>
      <c r="I119" s="2"/>
      <c r="J119" s="2"/>
      <c r="K119" s="3"/>
    </row>
    <row r="120">
      <c r="A120" s="2"/>
      <c r="B120" s="2"/>
      <c r="C120" s="2"/>
      <c r="D120" s="11"/>
      <c r="E120" s="11"/>
      <c r="F120" s="11"/>
      <c r="G120" s="3"/>
      <c r="H120" s="11"/>
      <c r="I120" s="2"/>
      <c r="J120" s="2"/>
      <c r="K120" s="3"/>
    </row>
    <row r="121">
      <c r="A121" s="2"/>
      <c r="B121" s="2"/>
      <c r="C121" s="2"/>
      <c r="D121" s="11"/>
      <c r="E121" s="11"/>
      <c r="F121" s="11"/>
      <c r="G121" s="3"/>
      <c r="H121" s="11"/>
      <c r="I121" s="2"/>
      <c r="J121" s="2"/>
      <c r="K121" s="3"/>
    </row>
    <row r="122">
      <c r="A122" s="2"/>
      <c r="B122" s="2"/>
      <c r="C122" s="2"/>
      <c r="D122" s="11"/>
      <c r="E122" s="11"/>
      <c r="F122" s="11"/>
      <c r="G122" s="3"/>
      <c r="H122" s="11"/>
      <c r="I122" s="2"/>
      <c r="J122" s="2"/>
      <c r="K122" s="3"/>
    </row>
    <row r="123">
      <c r="A123" s="2"/>
      <c r="B123" s="2"/>
      <c r="C123" s="2"/>
      <c r="D123" s="11"/>
      <c r="E123" s="11"/>
      <c r="F123" s="11"/>
      <c r="G123" s="3"/>
      <c r="H123" s="11"/>
      <c r="I123" s="2"/>
      <c r="J123" s="2"/>
      <c r="K123" s="3"/>
    </row>
    <row r="124">
      <c r="A124" s="2"/>
      <c r="B124" s="2"/>
      <c r="C124" s="2"/>
      <c r="D124" s="11"/>
      <c r="E124" s="11"/>
      <c r="F124" s="11"/>
      <c r="G124" s="3"/>
      <c r="H124" s="11"/>
      <c r="I124" s="2"/>
      <c r="J124" s="2"/>
      <c r="K124" s="3"/>
    </row>
    <row r="125">
      <c r="A125" s="2"/>
      <c r="B125" s="2"/>
      <c r="C125" s="2"/>
      <c r="D125" s="11"/>
      <c r="E125" s="11"/>
      <c r="F125" s="11"/>
      <c r="G125" s="3"/>
      <c r="H125" s="11"/>
      <c r="I125" s="2"/>
      <c r="J125" s="2"/>
      <c r="K125" s="3"/>
    </row>
    <row r="126">
      <c r="A126" s="2"/>
      <c r="B126" s="2"/>
      <c r="C126" s="2"/>
      <c r="D126" s="11"/>
      <c r="E126" s="11"/>
      <c r="F126" s="11"/>
      <c r="G126" s="3"/>
      <c r="H126" s="11"/>
      <c r="I126" s="2"/>
      <c r="J126" s="2"/>
      <c r="K126" s="3"/>
    </row>
    <row r="127">
      <c r="A127" s="2"/>
      <c r="B127" s="2"/>
      <c r="C127" s="2"/>
      <c r="D127" s="11"/>
      <c r="E127" s="11"/>
      <c r="F127" s="11"/>
      <c r="G127" s="3"/>
      <c r="H127" s="11"/>
      <c r="I127" s="2"/>
      <c r="J127" s="2"/>
      <c r="K127" s="3"/>
    </row>
    <row r="128">
      <c r="A128" s="2"/>
      <c r="B128" s="2"/>
      <c r="C128" s="2"/>
      <c r="D128" s="11"/>
      <c r="E128" s="11"/>
      <c r="F128" s="11"/>
      <c r="G128" s="3"/>
      <c r="H128" s="11"/>
      <c r="I128" s="2"/>
      <c r="J128" s="2"/>
      <c r="K128" s="3"/>
    </row>
    <row r="129">
      <c r="A129" s="2"/>
      <c r="B129" s="2"/>
      <c r="C129" s="2"/>
      <c r="D129" s="11"/>
      <c r="E129" s="11"/>
      <c r="F129" s="11"/>
      <c r="G129" s="3"/>
      <c r="H129" s="11"/>
      <c r="I129" s="2"/>
      <c r="J129" s="2"/>
      <c r="K129" s="3"/>
    </row>
    <row r="130">
      <c r="A130" s="2"/>
      <c r="B130" s="2"/>
      <c r="C130" s="2"/>
      <c r="D130" s="11"/>
      <c r="E130" s="11"/>
      <c r="F130" s="11"/>
      <c r="G130" s="3"/>
      <c r="H130" s="11"/>
      <c r="I130" s="2"/>
      <c r="J130" s="2"/>
      <c r="K130" s="3"/>
    </row>
    <row r="131">
      <c r="A131" s="2"/>
      <c r="B131" s="2"/>
      <c r="C131" s="2"/>
      <c r="D131" s="11"/>
      <c r="E131" s="11"/>
      <c r="F131" s="11"/>
      <c r="G131" s="3"/>
      <c r="H131" s="11"/>
      <c r="I131" s="2"/>
      <c r="J131" s="2"/>
      <c r="K131" s="3"/>
    </row>
    <row r="132">
      <c r="A132" s="2"/>
      <c r="B132" s="2"/>
      <c r="C132" s="2"/>
      <c r="D132" s="11"/>
      <c r="E132" s="11"/>
      <c r="F132" s="11"/>
      <c r="G132" s="3"/>
      <c r="H132" s="11"/>
      <c r="I132" s="2"/>
      <c r="J132" s="2"/>
      <c r="K132" s="3"/>
    </row>
    <row r="133">
      <c r="A133" s="2"/>
      <c r="B133" s="2"/>
      <c r="C133" s="2"/>
      <c r="D133" s="11"/>
      <c r="E133" s="11"/>
      <c r="F133" s="11"/>
      <c r="G133" s="3"/>
      <c r="H133" s="11"/>
      <c r="I133" s="2"/>
      <c r="J133" s="2"/>
      <c r="K133" s="3"/>
    </row>
    <row r="134">
      <c r="A134" s="2"/>
      <c r="B134" s="2"/>
      <c r="C134" s="2"/>
      <c r="D134" s="11"/>
      <c r="E134" s="11"/>
      <c r="F134" s="11"/>
      <c r="G134" s="3"/>
      <c r="H134" s="11"/>
      <c r="I134" s="2"/>
      <c r="J134" s="2"/>
      <c r="K134" s="3"/>
    </row>
    <row r="135">
      <c r="A135" s="2"/>
      <c r="B135" s="2"/>
      <c r="C135" s="2"/>
      <c r="D135" s="11"/>
      <c r="E135" s="11"/>
      <c r="F135" s="11"/>
      <c r="G135" s="3"/>
      <c r="H135" s="11"/>
      <c r="I135" s="2"/>
      <c r="J135" s="2"/>
      <c r="K135" s="3"/>
    </row>
    <row r="136">
      <c r="A136" s="2"/>
      <c r="B136" s="2"/>
      <c r="C136" s="2"/>
      <c r="D136" s="11"/>
      <c r="E136" s="11"/>
      <c r="F136" s="11"/>
      <c r="G136" s="3"/>
      <c r="H136" s="11"/>
      <c r="I136" s="2"/>
      <c r="J136" s="2"/>
      <c r="K136" s="3"/>
    </row>
    <row r="137">
      <c r="A137" s="2"/>
      <c r="B137" s="2"/>
      <c r="C137" s="2"/>
      <c r="D137" s="11"/>
      <c r="E137" s="11"/>
      <c r="F137" s="11"/>
      <c r="G137" s="3"/>
      <c r="H137" s="11"/>
      <c r="I137" s="2"/>
      <c r="J137" s="2"/>
      <c r="K137" s="3"/>
    </row>
    <row r="138">
      <c r="A138" s="2"/>
      <c r="B138" s="2"/>
      <c r="C138" s="2"/>
      <c r="D138" s="11"/>
      <c r="E138" s="11"/>
      <c r="F138" s="11"/>
      <c r="G138" s="3"/>
      <c r="H138" s="11"/>
      <c r="I138" s="2"/>
      <c r="J138" s="2"/>
      <c r="K138" s="3"/>
    </row>
  </sheetData>
  <autoFilter ref="A1:K138"/>
  <pageMargins left="0.5" right="0.5" top="0.5" bottom="0.5" header="0.3" footer="0.3"/>
</worksheet>
</file>

<file path=xl/worksheets/sheet11.xml><?xml version="1.0" encoding="utf-8"?>
<worksheet xmlns="http://schemas.openxmlformats.org/spreadsheetml/2006/main">
  <dimension ref="A1:H154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14" customWidth="1"/>
    <col min="3" max="3" width="13" customWidth="1"/>
    <col min="4" max="4" width="12" customWidth="1"/>
    <col min="5" max="5" width="40" customWidth="1"/>
    <col min="6" max="6" width="44" customWidth="1"/>
    <col min="7" max="7" width="30" customWidth="1"/>
    <col min="8" max="8" width="13" customWidth="1"/>
  </cols>
  <sheetData>
    <row r="1" ht="44" customHeight="1">
      <c r="A1" s="1" t="inlineStr">
        <is>
          <t xml:space="preserve">Company</t>
        </is>
      </c>
      <c r="B1" s="1" t="inlineStr">
        <is>
          <t xml:space="preserve">Round</t>
        </is>
      </c>
      <c r="C1" s="1" t="inlineStr">
        <is>
          <t xml:space="preserve">Date</t>
        </is>
      </c>
      <c r="D1" s="1" t="inlineStr">
        <is>
          <t xml:space="preserve">Result</t>
        </is>
      </c>
      <c r="E1" s="1" t="inlineStr">
        <is>
          <t xml:space="preserve">What went badly (the exact moment)</t>
        </is>
      </c>
      <c r="F1" s="1" t="inlineStr">
        <is>
          <t xml:space="preserve">ROOT CAUSE - the only column that matters</t>
        </is>
      </c>
      <c r="G1" s="1" t="inlineStr">
        <is>
          <t xml:space="preserve">Repair action</t>
        </is>
      </c>
      <c r="H1" s="1" t="inlineStr">
        <is>
          <t xml:space="preserve">Scheduled for</t>
        </is>
      </c>
    </row>
    <row r="2" ht="30" customHeight="1">
      <c r="A2" s="5" t="inlineStr">
        <is>
          <t xml:space="preserve">(example)</t>
        </is>
      </c>
      <c r="B2" s="5" t="inlineStr">
        <is>
          <t xml:space="preserve">DSA</t>
        </is>
      </c>
      <c r="C2" s="12"/>
      <c r="D2" s="13" t="inlineStr">
        <is>
          <t xml:space="preserve">Rejected</t>
        </is>
      </c>
      <c r="E2" s="5" t="inlineStr">
        <is>
          <t xml:space="preserve">Stalled 20 min on the approach</t>
        </is>
      </c>
      <c r="F2" s="5" t="inlineStr">
        <is>
          <t xml:space="preserve">Did not recognise it as a monotonic stack problem</t>
        </is>
      </c>
      <c r="G2" s="5" t="inlineStr">
        <is>
          <t xml:space="preserve">Re-drill monotonic stack</t>
        </is>
      </c>
      <c r="H2" s="12"/>
    </row>
    <row r="3">
      <c r="A3" s="2"/>
      <c r="B3" s="2"/>
      <c r="C3" s="3"/>
      <c r="D3" s="11"/>
      <c r="E3" s="2"/>
      <c r="F3" s="2"/>
      <c r="G3" s="2"/>
      <c r="H3" s="3"/>
    </row>
    <row r="4">
      <c r="A4" s="2"/>
      <c r="B4" s="2"/>
      <c r="C4" s="3"/>
      <c r="D4" s="11"/>
      <c r="E4" s="2"/>
      <c r="F4" s="2"/>
      <c r="G4" s="2"/>
      <c r="H4" s="3"/>
    </row>
    <row r="5">
      <c r="A5" s="2"/>
      <c r="B5" s="2"/>
      <c r="C5" s="3"/>
      <c r="D5" s="11"/>
      <c r="E5" s="2"/>
      <c r="F5" s="2"/>
      <c r="G5" s="2"/>
      <c r="H5" s="3"/>
    </row>
    <row r="6">
      <c r="A6" s="2"/>
      <c r="B6" s="2"/>
      <c r="C6" s="3"/>
      <c r="D6" s="11"/>
      <c r="E6" s="2"/>
      <c r="F6" s="2"/>
      <c r="G6" s="2"/>
      <c r="H6" s="3"/>
    </row>
    <row r="7">
      <c r="A7" s="2"/>
      <c r="B7" s="2"/>
      <c r="C7" s="3"/>
      <c r="D7" s="11"/>
      <c r="E7" s="2"/>
      <c r="F7" s="2"/>
      <c r="G7" s="2"/>
      <c r="H7" s="3"/>
    </row>
    <row r="8">
      <c r="A8" s="2"/>
      <c r="B8" s="2"/>
      <c r="C8" s="3"/>
      <c r="D8" s="11"/>
      <c r="E8" s="2"/>
      <c r="F8" s="2"/>
      <c r="G8" s="2"/>
      <c r="H8" s="3"/>
    </row>
    <row r="9">
      <c r="A9" s="2"/>
      <c r="B9" s="2"/>
      <c r="C9" s="3"/>
      <c r="D9" s="11"/>
      <c r="E9" s="2"/>
      <c r="F9" s="2"/>
      <c r="G9" s="2"/>
      <c r="H9" s="3"/>
    </row>
    <row r="10">
      <c r="A10" s="2"/>
      <c r="B10" s="2"/>
      <c r="C10" s="3"/>
      <c r="D10" s="11"/>
      <c r="E10" s="2"/>
      <c r="F10" s="2"/>
      <c r="G10" s="2"/>
      <c r="H10" s="3"/>
    </row>
    <row r="11">
      <c r="A11" s="2"/>
      <c r="B11" s="2"/>
      <c r="C11" s="3"/>
      <c r="D11" s="11"/>
      <c r="E11" s="2"/>
      <c r="F11" s="2"/>
      <c r="G11" s="2"/>
      <c r="H11" s="3"/>
    </row>
    <row r="12">
      <c r="A12" s="2"/>
      <c r="B12" s="2"/>
      <c r="C12" s="3"/>
      <c r="D12" s="11"/>
      <c r="E12" s="2"/>
      <c r="F12" s="2"/>
      <c r="G12" s="2"/>
      <c r="H12" s="3"/>
    </row>
    <row r="13">
      <c r="A13" s="2"/>
      <c r="B13" s="2"/>
      <c r="C13" s="3"/>
      <c r="D13" s="11"/>
      <c r="E13" s="2"/>
      <c r="F13" s="2"/>
      <c r="G13" s="2"/>
      <c r="H13" s="3"/>
    </row>
    <row r="14">
      <c r="A14" s="2"/>
      <c r="B14" s="2"/>
      <c r="C14" s="3"/>
      <c r="D14" s="11"/>
      <c r="E14" s="2"/>
      <c r="F14" s="2"/>
      <c r="G14" s="2"/>
      <c r="H14" s="3"/>
    </row>
    <row r="15">
      <c r="A15" s="2"/>
      <c r="B15" s="2"/>
      <c r="C15" s="3"/>
      <c r="D15" s="11"/>
      <c r="E15" s="2"/>
      <c r="F15" s="2"/>
      <c r="G15" s="2"/>
      <c r="H15" s="3"/>
    </row>
    <row r="16">
      <c r="A16" s="2"/>
      <c r="B16" s="2"/>
      <c r="C16" s="3"/>
      <c r="D16" s="11"/>
      <c r="E16" s="2"/>
      <c r="F16" s="2"/>
      <c r="G16" s="2"/>
      <c r="H16" s="3"/>
    </row>
    <row r="17">
      <c r="A17" s="2"/>
      <c r="B17" s="2"/>
      <c r="C17" s="3"/>
      <c r="D17" s="11"/>
      <c r="E17" s="2"/>
      <c r="F17" s="2"/>
      <c r="G17" s="2"/>
      <c r="H17" s="3"/>
    </row>
    <row r="18">
      <c r="A18" s="2"/>
      <c r="B18" s="2"/>
      <c r="C18" s="3"/>
      <c r="D18" s="11"/>
      <c r="E18" s="2"/>
      <c r="F18" s="2"/>
      <c r="G18" s="2"/>
      <c r="H18" s="3"/>
    </row>
    <row r="19">
      <c r="A19" s="2"/>
      <c r="B19" s="2"/>
      <c r="C19" s="3"/>
      <c r="D19" s="11"/>
      <c r="E19" s="2"/>
      <c r="F19" s="2"/>
      <c r="G19" s="2"/>
      <c r="H19" s="3"/>
    </row>
    <row r="20">
      <c r="A20" s="2"/>
      <c r="B20" s="2"/>
      <c r="C20" s="3"/>
      <c r="D20" s="11"/>
      <c r="E20" s="2"/>
      <c r="F20" s="2"/>
      <c r="G20" s="2"/>
      <c r="H20" s="3"/>
    </row>
    <row r="21">
      <c r="A21" s="2"/>
      <c r="B21" s="2"/>
      <c r="C21" s="3"/>
      <c r="D21" s="11"/>
      <c r="E21" s="2"/>
      <c r="F21" s="2"/>
      <c r="G21" s="2"/>
      <c r="H21" s="3"/>
    </row>
    <row r="22">
      <c r="A22" s="2"/>
      <c r="B22" s="2"/>
      <c r="C22" s="3"/>
      <c r="D22" s="11"/>
      <c r="E22" s="2"/>
      <c r="F22" s="2"/>
      <c r="G22" s="2"/>
      <c r="H22" s="3"/>
    </row>
    <row r="23">
      <c r="A23" s="2"/>
      <c r="B23" s="2"/>
      <c r="C23" s="3"/>
      <c r="D23" s="11"/>
      <c r="E23" s="2"/>
      <c r="F23" s="2"/>
      <c r="G23" s="2"/>
      <c r="H23" s="3"/>
    </row>
    <row r="24">
      <c r="A24" s="2"/>
      <c r="B24" s="2"/>
      <c r="C24" s="3"/>
      <c r="D24" s="11"/>
      <c r="E24" s="2"/>
      <c r="F24" s="2"/>
      <c r="G24" s="2"/>
      <c r="H24" s="3"/>
    </row>
    <row r="25">
      <c r="A25" s="2"/>
      <c r="B25" s="2"/>
      <c r="C25" s="3"/>
      <c r="D25" s="11"/>
      <c r="E25" s="2"/>
      <c r="F25" s="2"/>
      <c r="G25" s="2"/>
      <c r="H25" s="3"/>
    </row>
    <row r="26">
      <c r="A26" s="2"/>
      <c r="B26" s="2"/>
      <c r="C26" s="3"/>
      <c r="D26" s="11"/>
      <c r="E26" s="2"/>
      <c r="F26" s="2"/>
      <c r="G26" s="2"/>
      <c r="H26" s="3"/>
    </row>
    <row r="27">
      <c r="A27" s="2"/>
      <c r="B27" s="2"/>
      <c r="C27" s="3"/>
      <c r="D27" s="11"/>
      <c r="E27" s="2"/>
      <c r="F27" s="2"/>
      <c r="G27" s="2"/>
      <c r="H27" s="3"/>
    </row>
    <row r="28">
      <c r="A28" s="2"/>
      <c r="B28" s="2"/>
      <c r="C28" s="3"/>
      <c r="D28" s="11"/>
      <c r="E28" s="2"/>
      <c r="F28" s="2"/>
      <c r="G28" s="2"/>
      <c r="H28" s="3"/>
    </row>
    <row r="29">
      <c r="A29" s="2"/>
      <c r="B29" s="2"/>
      <c r="C29" s="3"/>
      <c r="D29" s="11"/>
      <c r="E29" s="2"/>
      <c r="F29" s="2"/>
      <c r="G29" s="2"/>
      <c r="H29" s="3"/>
    </row>
    <row r="30">
      <c r="A30" s="2"/>
      <c r="B30" s="2"/>
      <c r="C30" s="3"/>
      <c r="D30" s="11"/>
      <c r="E30" s="2"/>
      <c r="F30" s="2"/>
      <c r="G30" s="2"/>
      <c r="H30" s="3"/>
    </row>
    <row r="31">
      <c r="A31" s="2"/>
      <c r="B31" s="2"/>
      <c r="C31" s="3"/>
      <c r="D31" s="11"/>
      <c r="E31" s="2"/>
      <c r="F31" s="2"/>
      <c r="G31" s="2"/>
      <c r="H31" s="3"/>
    </row>
    <row r="32">
      <c r="A32" s="2"/>
      <c r="B32" s="2"/>
      <c r="C32" s="3"/>
      <c r="D32" s="11"/>
      <c r="E32" s="2"/>
      <c r="F32" s="2"/>
      <c r="G32" s="2"/>
      <c r="H32" s="3"/>
    </row>
    <row r="33">
      <c r="A33" s="2"/>
      <c r="B33" s="2"/>
      <c r="C33" s="3"/>
      <c r="D33" s="11"/>
      <c r="E33" s="2"/>
      <c r="F33" s="2"/>
      <c r="G33" s="2"/>
      <c r="H33" s="3"/>
    </row>
    <row r="34">
      <c r="A34" s="2"/>
      <c r="B34" s="2"/>
      <c r="C34" s="3"/>
      <c r="D34" s="11"/>
      <c r="E34" s="2"/>
      <c r="F34" s="2"/>
      <c r="G34" s="2"/>
      <c r="H34" s="3"/>
    </row>
    <row r="35">
      <c r="A35" s="2"/>
      <c r="B35" s="2"/>
      <c r="C35" s="3"/>
      <c r="D35" s="11"/>
      <c r="E35" s="2"/>
      <c r="F35" s="2"/>
      <c r="G35" s="2"/>
      <c r="H35" s="3"/>
    </row>
    <row r="36">
      <c r="A36" s="2"/>
      <c r="B36" s="2"/>
      <c r="C36" s="3"/>
      <c r="D36" s="11"/>
      <c r="E36" s="2"/>
      <c r="F36" s="2"/>
      <c r="G36" s="2"/>
      <c r="H36" s="3"/>
    </row>
    <row r="37">
      <c r="A37" s="2"/>
      <c r="B37" s="2"/>
      <c r="C37" s="3"/>
      <c r="D37" s="11"/>
      <c r="E37" s="2"/>
      <c r="F37" s="2"/>
      <c r="G37" s="2"/>
      <c r="H37" s="3"/>
    </row>
    <row r="38">
      <c r="A38" s="2"/>
      <c r="B38" s="2"/>
      <c r="C38" s="3"/>
      <c r="D38" s="11"/>
      <c r="E38" s="2"/>
      <c r="F38" s="2"/>
      <c r="G38" s="2"/>
      <c r="H38" s="3"/>
    </row>
    <row r="39">
      <c r="A39" s="2"/>
      <c r="B39" s="2"/>
      <c r="C39" s="3"/>
      <c r="D39" s="11"/>
      <c r="E39" s="2"/>
      <c r="F39" s="2"/>
      <c r="G39" s="2"/>
      <c r="H39" s="3"/>
    </row>
    <row r="40">
      <c r="A40" s="2"/>
      <c r="B40" s="2"/>
      <c r="C40" s="3"/>
      <c r="D40" s="11"/>
      <c r="E40" s="2"/>
      <c r="F40" s="2"/>
      <c r="G40" s="2"/>
      <c r="H40" s="3"/>
    </row>
    <row r="41">
      <c r="A41" s="2"/>
      <c r="B41" s="2"/>
      <c r="C41" s="3"/>
      <c r="D41" s="11"/>
      <c r="E41" s="2"/>
      <c r="F41" s="2"/>
      <c r="G41" s="2"/>
      <c r="H41" s="3"/>
    </row>
    <row r="42">
      <c r="A42" s="2"/>
      <c r="B42" s="2"/>
      <c r="C42" s="3"/>
      <c r="D42" s="11"/>
      <c r="E42" s="2"/>
      <c r="F42" s="2"/>
      <c r="G42" s="2"/>
      <c r="H42" s="3"/>
    </row>
    <row r="43">
      <c r="A43" s="2"/>
      <c r="B43" s="2"/>
      <c r="C43" s="3"/>
      <c r="D43" s="11"/>
      <c r="E43" s="2"/>
      <c r="F43" s="2"/>
      <c r="G43" s="2"/>
      <c r="H43" s="3"/>
    </row>
    <row r="44">
      <c r="A44" s="2"/>
      <c r="B44" s="2"/>
      <c r="C44" s="3"/>
      <c r="D44" s="11"/>
      <c r="E44" s="2"/>
      <c r="F44" s="2"/>
      <c r="G44" s="2"/>
      <c r="H44" s="3"/>
    </row>
    <row r="45">
      <c r="A45" s="2"/>
      <c r="B45" s="2"/>
      <c r="C45" s="3"/>
      <c r="D45" s="11"/>
      <c r="E45" s="2"/>
      <c r="F45" s="2"/>
      <c r="G45" s="2"/>
      <c r="H45" s="3"/>
    </row>
    <row r="46">
      <c r="A46" s="2"/>
      <c r="B46" s="2"/>
      <c r="C46" s="3"/>
      <c r="D46" s="11"/>
      <c r="E46" s="2"/>
      <c r="F46" s="2"/>
      <c r="G46" s="2"/>
      <c r="H46" s="3"/>
    </row>
    <row r="47">
      <c r="A47" s="2"/>
      <c r="B47" s="2"/>
      <c r="C47" s="3"/>
      <c r="D47" s="11"/>
      <c r="E47" s="2"/>
      <c r="F47" s="2"/>
      <c r="G47" s="2"/>
      <c r="H47" s="3"/>
    </row>
    <row r="48">
      <c r="A48" s="2"/>
      <c r="B48" s="2"/>
      <c r="C48" s="3"/>
      <c r="D48" s="11"/>
      <c r="E48" s="2"/>
      <c r="F48" s="2"/>
      <c r="G48" s="2"/>
      <c r="H48" s="3"/>
    </row>
    <row r="49">
      <c r="A49" s="2"/>
      <c r="B49" s="2"/>
      <c r="C49" s="3"/>
      <c r="D49" s="11"/>
      <c r="E49" s="2"/>
      <c r="F49" s="2"/>
      <c r="G49" s="2"/>
      <c r="H49" s="3"/>
    </row>
    <row r="50">
      <c r="A50" s="2"/>
      <c r="B50" s="2"/>
      <c r="C50" s="3"/>
      <c r="D50" s="11"/>
      <c r="E50" s="2"/>
      <c r="F50" s="2"/>
      <c r="G50" s="2"/>
      <c r="H50" s="3"/>
    </row>
    <row r="51">
      <c r="A51" s="2"/>
      <c r="B51" s="2"/>
      <c r="C51" s="3"/>
      <c r="D51" s="11"/>
      <c r="E51" s="2"/>
      <c r="F51" s="2"/>
      <c r="G51" s="2"/>
      <c r="H51" s="3"/>
    </row>
    <row r="52">
      <c r="A52" s="2"/>
      <c r="B52" s="2"/>
      <c r="C52" s="3"/>
      <c r="D52" s="11"/>
      <c r="E52" s="2"/>
      <c r="F52" s="2"/>
      <c r="G52" s="2"/>
      <c r="H52" s="3"/>
    </row>
    <row r="53">
      <c r="A53" s="2"/>
      <c r="B53" s="2"/>
      <c r="C53" s="3"/>
      <c r="D53" s="11"/>
      <c r="E53" s="2"/>
      <c r="F53" s="2"/>
      <c r="G53" s="2"/>
      <c r="H53" s="3"/>
    </row>
    <row r="54">
      <c r="A54" s="2"/>
      <c r="B54" s="2"/>
      <c r="C54" s="3"/>
      <c r="D54" s="11"/>
      <c r="E54" s="2"/>
      <c r="F54" s="2"/>
      <c r="G54" s="2"/>
      <c r="H54" s="3"/>
    </row>
    <row r="55">
      <c r="A55" s="2"/>
      <c r="B55" s="2"/>
      <c r="C55" s="3"/>
      <c r="D55" s="11"/>
      <c r="E55" s="2"/>
      <c r="F55" s="2"/>
      <c r="G55" s="2"/>
      <c r="H55" s="3"/>
    </row>
    <row r="56">
      <c r="A56" s="2"/>
      <c r="B56" s="2"/>
      <c r="C56" s="3"/>
      <c r="D56" s="11"/>
      <c r="E56" s="2"/>
      <c r="F56" s="2"/>
      <c r="G56" s="2"/>
      <c r="H56" s="3"/>
    </row>
    <row r="57">
      <c r="A57" s="2"/>
      <c r="B57" s="2"/>
      <c r="C57" s="3"/>
      <c r="D57" s="11"/>
      <c r="E57" s="2"/>
      <c r="F57" s="2"/>
      <c r="G57" s="2"/>
      <c r="H57" s="3"/>
    </row>
    <row r="58">
      <c r="A58" s="2"/>
      <c r="B58" s="2"/>
      <c r="C58" s="3"/>
      <c r="D58" s="11"/>
      <c r="E58" s="2"/>
      <c r="F58" s="2"/>
      <c r="G58" s="2"/>
      <c r="H58" s="3"/>
    </row>
    <row r="59">
      <c r="A59" s="2"/>
      <c r="B59" s="2"/>
      <c r="C59" s="3"/>
      <c r="D59" s="11"/>
      <c r="E59" s="2"/>
      <c r="F59" s="2"/>
      <c r="G59" s="2"/>
      <c r="H59" s="3"/>
    </row>
    <row r="60">
      <c r="A60" s="2"/>
      <c r="B60" s="2"/>
      <c r="C60" s="3"/>
      <c r="D60" s="11"/>
      <c r="E60" s="2"/>
      <c r="F60" s="2"/>
      <c r="G60" s="2"/>
      <c r="H60" s="3"/>
    </row>
    <row r="61">
      <c r="A61" s="2"/>
      <c r="B61" s="2"/>
      <c r="C61" s="3"/>
      <c r="D61" s="11"/>
      <c r="E61" s="2"/>
      <c r="F61" s="2"/>
      <c r="G61" s="2"/>
      <c r="H61" s="3"/>
    </row>
    <row r="62">
      <c r="A62" s="2"/>
      <c r="B62" s="2"/>
      <c r="C62" s="3"/>
      <c r="D62" s="11"/>
      <c r="E62" s="2"/>
      <c r="F62" s="2"/>
      <c r="G62" s="2"/>
      <c r="H62" s="3"/>
    </row>
    <row r="63">
      <c r="A63" s="2"/>
      <c r="B63" s="2"/>
      <c r="C63" s="3"/>
      <c r="D63" s="11"/>
      <c r="E63" s="2"/>
      <c r="F63" s="2"/>
      <c r="G63" s="2"/>
      <c r="H63" s="3"/>
    </row>
    <row r="64">
      <c r="A64" s="2"/>
      <c r="B64" s="2"/>
      <c r="C64" s="3"/>
      <c r="D64" s="11"/>
      <c r="E64" s="2"/>
      <c r="F64" s="2"/>
      <c r="G64" s="2"/>
      <c r="H64" s="3"/>
    </row>
    <row r="65">
      <c r="A65" s="2"/>
      <c r="B65" s="2"/>
      <c r="C65" s="3"/>
      <c r="D65" s="11"/>
      <c r="E65" s="2"/>
      <c r="F65" s="2"/>
      <c r="G65" s="2"/>
      <c r="H65" s="3"/>
    </row>
    <row r="66">
      <c r="A66" s="2"/>
      <c r="B66" s="2"/>
      <c r="C66" s="3"/>
      <c r="D66" s="11"/>
      <c r="E66" s="2"/>
      <c r="F66" s="2"/>
      <c r="G66" s="2"/>
      <c r="H66" s="3"/>
    </row>
    <row r="67">
      <c r="A67" s="2"/>
      <c r="B67" s="2"/>
      <c r="C67" s="3"/>
      <c r="D67" s="11"/>
      <c r="E67" s="2"/>
      <c r="F67" s="2"/>
      <c r="G67" s="2"/>
      <c r="H67" s="3"/>
    </row>
    <row r="68">
      <c r="A68" s="2"/>
      <c r="B68" s="2"/>
      <c r="C68" s="3"/>
      <c r="D68" s="11"/>
      <c r="E68" s="2"/>
      <c r="F68" s="2"/>
      <c r="G68" s="2"/>
      <c r="H68" s="3"/>
    </row>
    <row r="69">
      <c r="A69" s="2"/>
      <c r="B69" s="2"/>
      <c r="C69" s="3"/>
      <c r="D69" s="11"/>
      <c r="E69" s="2"/>
      <c r="F69" s="2"/>
      <c r="G69" s="2"/>
      <c r="H69" s="3"/>
    </row>
    <row r="70">
      <c r="A70" s="2"/>
      <c r="B70" s="2"/>
      <c r="C70" s="3"/>
      <c r="D70" s="11"/>
      <c r="E70" s="2"/>
      <c r="F70" s="2"/>
      <c r="G70" s="2"/>
      <c r="H70" s="3"/>
    </row>
    <row r="71">
      <c r="A71" s="2"/>
      <c r="B71" s="2"/>
      <c r="C71" s="3"/>
      <c r="D71" s="11"/>
      <c r="E71" s="2"/>
      <c r="F71" s="2"/>
      <c r="G71" s="2"/>
      <c r="H71" s="3"/>
    </row>
    <row r="72">
      <c r="A72" s="2"/>
      <c r="B72" s="2"/>
      <c r="C72" s="3"/>
      <c r="D72" s="11"/>
      <c r="E72" s="2"/>
      <c r="F72" s="2"/>
      <c r="G72" s="2"/>
      <c r="H72" s="3"/>
    </row>
    <row r="73">
      <c r="A73" s="2"/>
      <c r="B73" s="2"/>
      <c r="C73" s="3"/>
      <c r="D73" s="11"/>
      <c r="E73" s="2"/>
      <c r="F73" s="2"/>
      <c r="G73" s="2"/>
      <c r="H73" s="3"/>
    </row>
    <row r="74">
      <c r="A74" s="2"/>
      <c r="B74" s="2"/>
      <c r="C74" s="3"/>
      <c r="D74" s="11"/>
      <c r="E74" s="2"/>
      <c r="F74" s="2"/>
      <c r="G74" s="2"/>
      <c r="H74" s="3"/>
    </row>
    <row r="75">
      <c r="A75" s="2"/>
      <c r="B75" s="2"/>
      <c r="C75" s="3"/>
      <c r="D75" s="11"/>
      <c r="E75" s="2"/>
      <c r="F75" s="2"/>
      <c r="G75" s="2"/>
      <c r="H75" s="3"/>
    </row>
    <row r="76">
      <c r="A76" s="2"/>
      <c r="B76" s="2"/>
      <c r="C76" s="3"/>
      <c r="D76" s="11"/>
      <c r="E76" s="2"/>
      <c r="F76" s="2"/>
      <c r="G76" s="2"/>
      <c r="H76" s="3"/>
    </row>
    <row r="77">
      <c r="A77" s="2"/>
      <c r="B77" s="2"/>
      <c r="C77" s="3"/>
      <c r="D77" s="11"/>
      <c r="E77" s="2"/>
      <c r="F77" s="2"/>
      <c r="G77" s="2"/>
      <c r="H77" s="3"/>
    </row>
    <row r="78">
      <c r="A78" s="2"/>
      <c r="B78" s="2"/>
      <c r="C78" s="3"/>
      <c r="D78" s="11"/>
      <c r="E78" s="2"/>
      <c r="F78" s="2"/>
      <c r="G78" s="2"/>
      <c r="H78" s="3"/>
    </row>
    <row r="79">
      <c r="A79" s="2"/>
      <c r="B79" s="2"/>
      <c r="C79" s="3"/>
      <c r="D79" s="11"/>
      <c r="E79" s="2"/>
      <c r="F79" s="2"/>
      <c r="G79" s="2"/>
      <c r="H79" s="3"/>
    </row>
    <row r="80">
      <c r="A80" s="2"/>
      <c r="B80" s="2"/>
      <c r="C80" s="3"/>
      <c r="D80" s="11"/>
      <c r="E80" s="2"/>
      <c r="F80" s="2"/>
      <c r="G80" s="2"/>
      <c r="H80" s="3"/>
    </row>
    <row r="81">
      <c r="A81" s="2"/>
      <c r="B81" s="2"/>
      <c r="C81" s="3"/>
      <c r="D81" s="11"/>
      <c r="E81" s="2"/>
      <c r="F81" s="2"/>
      <c r="G81" s="2"/>
      <c r="H81" s="3"/>
    </row>
    <row r="82">
      <c r="A82" s="2"/>
      <c r="B82" s="2"/>
      <c r="C82" s="3"/>
      <c r="D82" s="11"/>
      <c r="E82" s="2"/>
      <c r="F82" s="2"/>
      <c r="G82" s="2"/>
      <c r="H82" s="3"/>
    </row>
    <row r="83">
      <c r="A83" s="2"/>
      <c r="B83" s="2"/>
      <c r="C83" s="3"/>
      <c r="D83" s="11"/>
      <c r="E83" s="2"/>
      <c r="F83" s="2"/>
      <c r="G83" s="2"/>
      <c r="H83" s="3"/>
    </row>
    <row r="84">
      <c r="A84" s="2"/>
      <c r="B84" s="2"/>
      <c r="C84" s="3"/>
      <c r="D84" s="11"/>
      <c r="E84" s="2"/>
      <c r="F84" s="2"/>
      <c r="G84" s="2"/>
      <c r="H84" s="3"/>
    </row>
    <row r="85">
      <c r="A85" s="2"/>
      <c r="B85" s="2"/>
      <c r="C85" s="3"/>
      <c r="D85" s="11"/>
      <c r="E85" s="2"/>
      <c r="F85" s="2"/>
      <c r="G85" s="2"/>
      <c r="H85" s="3"/>
    </row>
    <row r="86">
      <c r="A86" s="2"/>
      <c r="B86" s="2"/>
      <c r="C86" s="3"/>
      <c r="D86" s="11"/>
      <c r="E86" s="2"/>
      <c r="F86" s="2"/>
      <c r="G86" s="2"/>
      <c r="H86" s="3"/>
    </row>
    <row r="87">
      <c r="A87" s="2"/>
      <c r="B87" s="2"/>
      <c r="C87" s="3"/>
      <c r="D87" s="11"/>
      <c r="E87" s="2"/>
      <c r="F87" s="2"/>
      <c r="G87" s="2"/>
      <c r="H87" s="3"/>
    </row>
    <row r="88">
      <c r="A88" s="2"/>
      <c r="B88" s="2"/>
      <c r="C88" s="3"/>
      <c r="D88" s="11"/>
      <c r="E88" s="2"/>
      <c r="F88" s="2"/>
      <c r="G88" s="2"/>
      <c r="H88" s="3"/>
    </row>
    <row r="89">
      <c r="A89" s="2"/>
      <c r="B89" s="2"/>
      <c r="C89" s="3"/>
      <c r="D89" s="11"/>
      <c r="E89" s="2"/>
      <c r="F89" s="2"/>
      <c r="G89" s="2"/>
      <c r="H89" s="3"/>
    </row>
    <row r="90">
      <c r="A90" s="2"/>
      <c r="B90" s="2"/>
      <c r="C90" s="3"/>
      <c r="D90" s="11"/>
      <c r="E90" s="2"/>
      <c r="F90" s="2"/>
      <c r="G90" s="2"/>
      <c r="H90" s="3"/>
    </row>
    <row r="91">
      <c r="A91" s="2"/>
      <c r="B91" s="2"/>
      <c r="C91" s="3"/>
      <c r="D91" s="11"/>
      <c r="E91" s="2"/>
      <c r="F91" s="2"/>
      <c r="G91" s="2"/>
      <c r="H91" s="3"/>
    </row>
    <row r="92">
      <c r="A92" s="2"/>
      <c r="B92" s="2"/>
      <c r="C92" s="3"/>
      <c r="D92" s="11"/>
      <c r="E92" s="2"/>
      <c r="F92" s="2"/>
      <c r="G92" s="2"/>
      <c r="H92" s="3"/>
    </row>
    <row r="93">
      <c r="A93" s="2"/>
      <c r="B93" s="2"/>
      <c r="C93" s="3"/>
      <c r="D93" s="11"/>
      <c r="E93" s="2"/>
      <c r="F93" s="2"/>
      <c r="G93" s="2"/>
      <c r="H93" s="3"/>
    </row>
    <row r="94">
      <c r="A94" s="2"/>
      <c r="B94" s="2"/>
      <c r="C94" s="3"/>
      <c r="D94" s="11"/>
      <c r="E94" s="2"/>
      <c r="F94" s="2"/>
      <c r="G94" s="2"/>
      <c r="H94" s="3"/>
    </row>
    <row r="95">
      <c r="A95" s="2"/>
      <c r="B95" s="2"/>
      <c r="C95" s="3"/>
      <c r="D95" s="11"/>
      <c r="E95" s="2"/>
      <c r="F95" s="2"/>
      <c r="G95" s="2"/>
      <c r="H95" s="3"/>
    </row>
    <row r="96">
      <c r="A96" s="2"/>
      <c r="B96" s="2"/>
      <c r="C96" s="3"/>
      <c r="D96" s="11"/>
      <c r="E96" s="2"/>
      <c r="F96" s="2"/>
      <c r="G96" s="2"/>
      <c r="H96" s="3"/>
    </row>
    <row r="97">
      <c r="A97" s="2"/>
      <c r="B97" s="2"/>
      <c r="C97" s="3"/>
      <c r="D97" s="11"/>
      <c r="E97" s="2"/>
      <c r="F97" s="2"/>
      <c r="G97" s="2"/>
      <c r="H97" s="3"/>
    </row>
    <row r="98">
      <c r="A98" s="2"/>
      <c r="B98" s="2"/>
      <c r="C98" s="3"/>
      <c r="D98" s="11"/>
      <c r="E98" s="2"/>
      <c r="F98" s="2"/>
      <c r="G98" s="2"/>
      <c r="H98" s="3"/>
    </row>
    <row r="99">
      <c r="A99" s="2"/>
      <c r="B99" s="2"/>
      <c r="C99" s="3"/>
      <c r="D99" s="11"/>
      <c r="E99" s="2"/>
      <c r="F99" s="2"/>
      <c r="G99" s="2"/>
      <c r="H99" s="3"/>
    </row>
    <row r="100">
      <c r="A100" s="2"/>
      <c r="B100" s="2"/>
      <c r="C100" s="3"/>
      <c r="D100" s="11"/>
      <c r="E100" s="2"/>
      <c r="F100" s="2"/>
      <c r="G100" s="2"/>
      <c r="H100" s="3"/>
    </row>
    <row r="101">
      <c r="A101" s="2"/>
      <c r="B101" s="2"/>
      <c r="C101" s="3"/>
      <c r="D101" s="11"/>
      <c r="E101" s="2"/>
      <c r="F101" s="2"/>
      <c r="G101" s="2"/>
      <c r="H101" s="3"/>
    </row>
    <row r="102">
      <c r="A102" s="2"/>
      <c r="B102" s="2"/>
      <c r="C102" s="3"/>
      <c r="D102" s="11"/>
      <c r="E102" s="2"/>
      <c r="F102" s="2"/>
      <c r="G102" s="2"/>
      <c r="H102" s="3"/>
    </row>
    <row r="103">
      <c r="A103" s="2"/>
      <c r="B103" s="2"/>
      <c r="C103" s="3"/>
      <c r="D103" s="11"/>
      <c r="E103" s="2"/>
      <c r="F103" s="2"/>
      <c r="G103" s="2"/>
      <c r="H103" s="3"/>
    </row>
    <row r="104">
      <c r="A104" s="2"/>
      <c r="B104" s="2"/>
      <c r="C104" s="3"/>
      <c r="D104" s="11"/>
      <c r="E104" s="2"/>
      <c r="F104" s="2"/>
      <c r="G104" s="2"/>
      <c r="H104" s="3"/>
    </row>
    <row r="105">
      <c r="A105" s="2"/>
      <c r="B105" s="2"/>
      <c r="C105" s="3"/>
      <c r="D105" s="11"/>
      <c r="E105" s="2"/>
      <c r="F105" s="2"/>
      <c r="G105" s="2"/>
      <c r="H105" s="3"/>
    </row>
    <row r="106">
      <c r="A106" s="2"/>
      <c r="B106" s="2"/>
      <c r="C106" s="3"/>
      <c r="D106" s="11"/>
      <c r="E106" s="2"/>
      <c r="F106" s="2"/>
      <c r="G106" s="2"/>
      <c r="H106" s="3"/>
    </row>
    <row r="107">
      <c r="A107" s="2"/>
      <c r="B107" s="2"/>
      <c r="C107" s="3"/>
      <c r="D107" s="11"/>
      <c r="E107" s="2"/>
      <c r="F107" s="2"/>
      <c r="G107" s="2"/>
      <c r="H107" s="3"/>
    </row>
    <row r="108">
      <c r="A108" s="2"/>
      <c r="B108" s="2"/>
      <c r="C108" s="3"/>
      <c r="D108" s="11"/>
      <c r="E108" s="2"/>
      <c r="F108" s="2"/>
      <c r="G108" s="2"/>
      <c r="H108" s="3"/>
    </row>
    <row r="109">
      <c r="A109" s="2"/>
      <c r="B109" s="2"/>
      <c r="C109" s="3"/>
      <c r="D109" s="11"/>
      <c r="E109" s="2"/>
      <c r="F109" s="2"/>
      <c r="G109" s="2"/>
      <c r="H109" s="3"/>
    </row>
    <row r="110">
      <c r="A110" s="2"/>
      <c r="B110" s="2"/>
      <c r="C110" s="3"/>
      <c r="D110" s="11"/>
      <c r="E110" s="2"/>
      <c r="F110" s="2"/>
      <c r="G110" s="2"/>
      <c r="H110" s="3"/>
    </row>
    <row r="111">
      <c r="A111" s="2"/>
      <c r="B111" s="2"/>
      <c r="C111" s="3"/>
      <c r="D111" s="11"/>
      <c r="E111" s="2"/>
      <c r="F111" s="2"/>
      <c r="G111" s="2"/>
      <c r="H111" s="3"/>
    </row>
    <row r="112">
      <c r="A112" s="2"/>
      <c r="B112" s="2"/>
      <c r="C112" s="3"/>
      <c r="D112" s="11"/>
      <c r="E112" s="2"/>
      <c r="F112" s="2"/>
      <c r="G112" s="2"/>
      <c r="H112" s="3"/>
    </row>
    <row r="113">
      <c r="A113" s="2"/>
      <c r="B113" s="2"/>
      <c r="C113" s="3"/>
      <c r="D113" s="11"/>
      <c r="E113" s="2"/>
      <c r="F113" s="2"/>
      <c r="G113" s="2"/>
      <c r="H113" s="3"/>
    </row>
    <row r="114">
      <c r="A114" s="2"/>
      <c r="B114" s="2"/>
      <c r="C114" s="3"/>
      <c r="D114" s="11"/>
      <c r="E114" s="2"/>
      <c r="F114" s="2"/>
      <c r="G114" s="2"/>
      <c r="H114" s="3"/>
    </row>
    <row r="115">
      <c r="A115" s="2"/>
      <c r="B115" s="2"/>
      <c r="C115" s="3"/>
      <c r="D115" s="11"/>
      <c r="E115" s="2"/>
      <c r="F115" s="2"/>
      <c r="G115" s="2"/>
      <c r="H115" s="3"/>
    </row>
    <row r="116">
      <c r="A116" s="2"/>
      <c r="B116" s="2"/>
      <c r="C116" s="3"/>
      <c r="D116" s="11"/>
      <c r="E116" s="2"/>
      <c r="F116" s="2"/>
      <c r="G116" s="2"/>
      <c r="H116" s="3"/>
    </row>
    <row r="117">
      <c r="A117" s="2"/>
      <c r="B117" s="2"/>
      <c r="C117" s="3"/>
      <c r="D117" s="11"/>
      <c r="E117" s="2"/>
      <c r="F117" s="2"/>
      <c r="G117" s="2"/>
      <c r="H117" s="3"/>
    </row>
    <row r="118">
      <c r="A118" s="2"/>
      <c r="B118" s="2"/>
      <c r="C118" s="3"/>
      <c r="D118" s="11"/>
      <c r="E118" s="2"/>
      <c r="F118" s="2"/>
      <c r="G118" s="2"/>
      <c r="H118" s="3"/>
    </row>
    <row r="119">
      <c r="A119" s="2"/>
      <c r="B119" s="2"/>
      <c r="C119" s="3"/>
      <c r="D119" s="11"/>
      <c r="E119" s="2"/>
      <c r="F119" s="2"/>
      <c r="G119" s="2"/>
      <c r="H119" s="3"/>
    </row>
    <row r="120">
      <c r="A120" s="2"/>
      <c r="B120" s="2"/>
      <c r="C120" s="3"/>
      <c r="D120" s="11"/>
      <c r="E120" s="2"/>
      <c r="F120" s="2"/>
      <c r="G120" s="2"/>
      <c r="H120" s="3"/>
    </row>
    <row r="121">
      <c r="A121" s="2"/>
      <c r="B121" s="2"/>
      <c r="C121" s="3"/>
      <c r="D121" s="11"/>
      <c r="E121" s="2"/>
      <c r="F121" s="2"/>
      <c r="G121" s="2"/>
      <c r="H121" s="3"/>
    </row>
    <row r="122">
      <c r="A122" s="2"/>
      <c r="B122" s="2"/>
      <c r="C122" s="3"/>
      <c r="D122" s="11"/>
      <c r="E122" s="2"/>
      <c r="F122" s="2"/>
      <c r="G122" s="2"/>
      <c r="H122" s="3"/>
    </row>
    <row r="123">
      <c r="A123" s="2"/>
      <c r="B123" s="2"/>
      <c r="C123" s="3"/>
      <c r="D123" s="11"/>
      <c r="E123" s="2"/>
      <c r="F123" s="2"/>
      <c r="G123" s="2"/>
      <c r="H123" s="3"/>
    </row>
    <row r="124">
      <c r="A124" s="2"/>
      <c r="B124" s="2"/>
      <c r="C124" s="3"/>
      <c r="D124" s="11"/>
      <c r="E124" s="2"/>
      <c r="F124" s="2"/>
      <c r="G124" s="2"/>
      <c r="H124" s="3"/>
    </row>
    <row r="125">
      <c r="A125" s="2"/>
      <c r="B125" s="2"/>
      <c r="C125" s="3"/>
      <c r="D125" s="11"/>
      <c r="E125" s="2"/>
      <c r="F125" s="2"/>
      <c r="G125" s="2"/>
      <c r="H125" s="3"/>
    </row>
    <row r="126">
      <c r="A126" s="2"/>
      <c r="B126" s="2"/>
      <c r="C126" s="3"/>
      <c r="D126" s="11"/>
      <c r="E126" s="2"/>
      <c r="F126" s="2"/>
      <c r="G126" s="2"/>
      <c r="H126" s="3"/>
    </row>
    <row r="127">
      <c r="A127" s="2"/>
      <c r="B127" s="2"/>
      <c r="C127" s="3"/>
      <c r="D127" s="11"/>
      <c r="E127" s="2"/>
      <c r="F127" s="2"/>
      <c r="G127" s="2"/>
      <c r="H127" s="3"/>
    </row>
    <row r="128">
      <c r="A128" s="2"/>
      <c r="B128" s="2"/>
      <c r="C128" s="3"/>
      <c r="D128" s="11"/>
      <c r="E128" s="2"/>
      <c r="F128" s="2"/>
      <c r="G128" s="2"/>
      <c r="H128" s="3"/>
    </row>
    <row r="129">
      <c r="A129" s="2"/>
      <c r="B129" s="2"/>
      <c r="C129" s="3"/>
      <c r="D129" s="11"/>
      <c r="E129" s="2"/>
      <c r="F129" s="2"/>
      <c r="G129" s="2"/>
      <c r="H129" s="3"/>
    </row>
    <row r="130">
      <c r="A130" s="2"/>
      <c r="B130" s="2"/>
      <c r="C130" s="3"/>
      <c r="D130" s="11"/>
      <c r="E130" s="2"/>
      <c r="F130" s="2"/>
      <c r="G130" s="2"/>
      <c r="H130" s="3"/>
    </row>
    <row r="131">
      <c r="A131" s="2"/>
      <c r="B131" s="2"/>
      <c r="C131" s="3"/>
      <c r="D131" s="11"/>
      <c r="E131" s="2"/>
      <c r="F131" s="2"/>
      <c r="G131" s="2"/>
      <c r="H131" s="3"/>
    </row>
    <row r="132">
      <c r="A132" s="2"/>
      <c r="B132" s="2"/>
      <c r="C132" s="3"/>
      <c r="D132" s="11"/>
      <c r="E132" s="2"/>
      <c r="F132" s="2"/>
      <c r="G132" s="2"/>
      <c r="H132" s="3"/>
    </row>
    <row r="133">
      <c r="A133" s="2"/>
      <c r="B133" s="2"/>
      <c r="C133" s="3"/>
      <c r="D133" s="11"/>
      <c r="E133" s="2"/>
      <c r="F133" s="2"/>
      <c r="G133" s="2"/>
      <c r="H133" s="3"/>
    </row>
    <row r="134">
      <c r="A134" s="2"/>
      <c r="B134" s="2"/>
      <c r="C134" s="3"/>
      <c r="D134" s="11"/>
      <c r="E134" s="2"/>
      <c r="F134" s="2"/>
      <c r="G134" s="2"/>
      <c r="H134" s="3"/>
    </row>
    <row r="135">
      <c r="A135" s="2"/>
      <c r="B135" s="2"/>
      <c r="C135" s="3"/>
      <c r="D135" s="11"/>
      <c r="E135" s="2"/>
      <c r="F135" s="2"/>
      <c r="G135" s="2"/>
      <c r="H135" s="3"/>
    </row>
    <row r="136">
      <c r="A136" s="2"/>
      <c r="B136" s="2"/>
      <c r="C136" s="3"/>
      <c r="D136" s="11"/>
      <c r="E136" s="2"/>
      <c r="F136" s="2"/>
      <c r="G136" s="2"/>
      <c r="H136" s="3"/>
    </row>
    <row r="137">
      <c r="A137" s="2"/>
      <c r="B137" s="2"/>
      <c r="C137" s="3"/>
      <c r="D137" s="11"/>
      <c r="E137" s="2"/>
      <c r="F137" s="2"/>
      <c r="G137" s="2"/>
      <c r="H137" s="3"/>
    </row>
    <row r="138">
      <c r="A138" s="2"/>
      <c r="B138" s="2"/>
      <c r="C138" s="3"/>
      <c r="D138" s="11"/>
      <c r="E138" s="2"/>
      <c r="F138" s="2"/>
      <c r="G138" s="2"/>
      <c r="H138" s="3"/>
    </row>
    <row r="139">
      <c r="A139" s="2"/>
      <c r="B139" s="2"/>
      <c r="C139" s="3"/>
      <c r="D139" s="11"/>
      <c r="E139" s="2"/>
      <c r="F139" s="2"/>
      <c r="G139" s="2"/>
      <c r="H139" s="3"/>
    </row>
    <row r="140">
      <c r="A140" s="2"/>
      <c r="B140" s="2"/>
      <c r="C140" s="3"/>
      <c r="D140" s="11"/>
      <c r="E140" s="2"/>
      <c r="F140" s="2"/>
      <c r="G140" s="2"/>
      <c r="H140" s="3"/>
    </row>
    <row r="141">
      <c r="A141" s="2"/>
      <c r="B141" s="2"/>
      <c r="C141" s="3"/>
      <c r="D141" s="11"/>
      <c r="E141" s="2"/>
      <c r="F141" s="2"/>
      <c r="G141" s="2"/>
      <c r="H141" s="3"/>
    </row>
    <row r="142">
      <c r="A142" s="2"/>
      <c r="B142" s="2"/>
      <c r="C142" s="3"/>
      <c r="D142" s="11"/>
      <c r="E142" s="2"/>
      <c r="F142" s="2"/>
      <c r="G142" s="2"/>
      <c r="H142" s="3"/>
    </row>
    <row r="143">
      <c r="A143" s="2"/>
      <c r="B143" s="2"/>
      <c r="C143" s="3"/>
      <c r="D143" s="11"/>
      <c r="E143" s="2"/>
      <c r="F143" s="2"/>
      <c r="G143" s="2"/>
      <c r="H143" s="3"/>
    </row>
    <row r="144">
      <c r="A144" s="2"/>
      <c r="B144" s="2"/>
      <c r="C144" s="3"/>
      <c r="D144" s="11"/>
      <c r="E144" s="2"/>
      <c r="F144" s="2"/>
      <c r="G144" s="2"/>
      <c r="H144" s="3"/>
    </row>
    <row r="145">
      <c r="A145" s="2"/>
      <c r="B145" s="2"/>
      <c r="C145" s="3"/>
      <c r="D145" s="11"/>
      <c r="E145" s="2"/>
      <c r="F145" s="2"/>
      <c r="G145" s="2"/>
      <c r="H145" s="3"/>
    </row>
    <row r="146">
      <c r="A146" s="2"/>
      <c r="B146" s="2"/>
      <c r="C146" s="3"/>
      <c r="D146" s="11"/>
      <c r="E146" s="2"/>
      <c r="F146" s="2"/>
      <c r="G146" s="2"/>
      <c r="H146" s="3"/>
    </row>
    <row r="147">
      <c r="A147" s="2"/>
      <c r="B147" s="2"/>
      <c r="C147" s="3"/>
      <c r="D147" s="11"/>
      <c r="E147" s="2"/>
      <c r="F147" s="2"/>
      <c r="G147" s="2"/>
      <c r="H147" s="3"/>
    </row>
    <row r="148">
      <c r="A148" s="2"/>
      <c r="B148" s="2"/>
      <c r="C148" s="3"/>
      <c r="D148" s="11"/>
      <c r="E148" s="2"/>
      <c r="F148" s="2"/>
      <c r="G148" s="2"/>
      <c r="H148" s="3"/>
    </row>
    <row r="149">
      <c r="A149" s="2"/>
      <c r="B149" s="2"/>
      <c r="C149" s="3"/>
      <c r="D149" s="11"/>
      <c r="E149" s="2"/>
      <c r="F149" s="2"/>
      <c r="G149" s="2"/>
      <c r="H149" s="3"/>
    </row>
    <row r="150">
      <c r="A150" s="2"/>
      <c r="B150" s="2"/>
      <c r="C150" s="3"/>
      <c r="D150" s="11"/>
      <c r="E150" s="2"/>
      <c r="F150" s="2"/>
      <c r="G150" s="2"/>
      <c r="H150" s="3"/>
    </row>
    <row r="151">
      <c r="A151" s="2"/>
      <c r="B151" s="2"/>
      <c r="C151" s="3"/>
      <c r="D151" s="11"/>
      <c r="E151" s="2"/>
      <c r="F151" s="2"/>
      <c r="G151" s="2"/>
      <c r="H151" s="3"/>
    </row>
    <row r="152">
      <c r="A152" s="2"/>
      <c r="B152" s="2"/>
      <c r="C152" s="3"/>
      <c r="D152" s="11"/>
      <c r="E152" s="2"/>
      <c r="F152" s="2"/>
      <c r="G152" s="2"/>
      <c r="H152" s="3"/>
    </row>
    <row r="153"/>
    <row r="154">
      <c r="A154" s="4" t="inlineStr">
        <is>
          <t xml:space="preserve">"I failed the DSA round" is not a root cause. "I did not recognise the pattern and burned 20 minutes on brute force" is - and it has a repair. Vague post-mortems are why people interview for a year without improving.</t>
        </is>
      </c>
    </row>
  </sheetData>
  <autoFilter ref="A1:H154"/>
  <pageMargins left="0.5" right="0.5" top="0.5" bottom="0.5" header="0.3" footer="0.3"/>
</worksheet>
</file>

<file path=xl/worksheets/sheet12.xml><?xml version="1.0" encoding="utf-8"?>
<worksheet xmlns="http://schemas.openxmlformats.org/spreadsheetml/2006/main">
  <dimension ref="A1:I17"/>
  <sheetViews>
    <sheetView workbookViewId="0">
      <pane ySplit="1" topLeftCell="A2" activePane="bottomLeft" state="frozen"/>
    </sheetView>
  </sheetViews>
  <sheetFormatPr defaultRowHeight="15"/>
  <cols>
    <col min="1" max="1" width="52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</cols>
  <sheetData>
    <row r="1" ht="30" customHeight="1">
      <c r="A1" s="1" t="inlineStr">
        <is>
          <t xml:space="preserve">Update once a month. These are the only numbers worth tracking.</t>
        </is>
      </c>
      <c r="B1" s="1" t="inlineStr">
        <is>
          <t xml:space="preserve">M1</t>
        </is>
      </c>
      <c r="C1" s="1" t="inlineStr">
        <is>
          <t xml:space="preserve">M2</t>
        </is>
      </c>
      <c r="D1" s="1" t="inlineStr">
        <is>
          <t xml:space="preserve">M3</t>
        </is>
      </c>
      <c r="E1" s="1" t="inlineStr">
        <is>
          <t xml:space="preserve">M4</t>
        </is>
      </c>
      <c r="F1" s="1" t="inlineStr">
        <is>
          <t xml:space="preserve">M5</t>
        </is>
      </c>
      <c r="G1" s="1" t="inlineStr">
        <is>
          <t xml:space="preserve">M6</t>
        </is>
      </c>
      <c r="H1" s="1" t="inlineStr">
        <is>
          <t xml:space="preserve">M7</t>
        </is>
      </c>
      <c r="I1" s="1" t="inlineStr">
        <is>
          <t xml:space="preserve">M8</t>
        </is>
      </c>
    </row>
    <row r="2">
      <c r="A2" s="10" t="inlineStr">
        <is>
          <t xml:space="preserve">THE THREE THAT MATTER</t>
        </is>
      </c>
      <c r="B2" s="10"/>
      <c r="C2" s="10"/>
      <c r="D2" s="10"/>
      <c r="E2" s="10"/>
      <c r="F2" s="10"/>
      <c r="G2" s="10"/>
      <c r="H2" s="10"/>
      <c r="I2" s="10"/>
    </row>
    <row r="3" ht="20" customHeight="1">
      <c r="A3" s="2" t="inlineStr">
        <is>
          <t xml:space="preserve">Days studied this month (out of available days)</t>
        </is>
      </c>
      <c r="B3" s="11"/>
      <c r="C3" s="11"/>
      <c r="D3" s="11"/>
      <c r="E3" s="11"/>
      <c r="F3" s="11"/>
      <c r="G3" s="11"/>
      <c r="H3" s="11"/>
      <c r="I3" s="11"/>
    </row>
    <row r="4" ht="20" customHeight="1">
      <c r="A4" s="2" t="inlineStr">
        <is>
          <t xml:space="preserve">Weak List items cleared</t>
        </is>
      </c>
      <c r="B4" s="11"/>
      <c r="C4" s="11"/>
      <c r="D4" s="11"/>
      <c r="E4" s="11"/>
      <c r="F4" s="11"/>
      <c r="G4" s="11"/>
      <c r="H4" s="11"/>
      <c r="I4" s="11"/>
    </row>
    <row r="5" ht="20" customHeight="1">
      <c r="A5" s="2" t="inlineStr">
        <is>
          <t xml:space="preserve">Concepts that passed the Day 30 review</t>
        </is>
      </c>
      <c r="B5" s="11"/>
      <c r="C5" s="11"/>
      <c r="D5" s="11"/>
      <c r="E5" s="11"/>
      <c r="F5" s="11"/>
      <c r="G5" s="11"/>
      <c r="H5" s="11"/>
      <c r="I5" s="11"/>
    </row>
    <row r="6">
      <c r="A6" s="10" t="inlineStr">
        <is>
          <t xml:space="preserve">EVERYTHING ELSE</t>
        </is>
      </c>
      <c r="B6" s="10"/>
      <c r="C6" s="10"/>
      <c r="D6" s="10"/>
      <c r="E6" s="10"/>
      <c r="F6" s="10"/>
      <c r="G6" s="10"/>
      <c r="H6" s="10"/>
      <c r="I6" s="10"/>
    </row>
    <row r="7" ht="20" customHeight="1">
      <c r="A7" s="2" t="inlineStr">
        <is>
          <t xml:space="preserve">DSA problems solved (logged, all six fields)</t>
        </is>
      </c>
      <c r="B7" s="11"/>
      <c r="C7" s="11"/>
      <c r="D7" s="11"/>
      <c r="E7" s="11"/>
      <c r="F7" s="11"/>
      <c r="G7" s="11"/>
      <c r="H7" s="11"/>
      <c r="I7" s="11"/>
    </row>
    <row r="8" ht="20" customHeight="1">
      <c r="A8" s="2" t="inlineStr">
        <is>
          <t xml:space="preserve">Problems re-solved from memory</t>
        </is>
      </c>
      <c r="B8" s="11"/>
      <c r="C8" s="11"/>
      <c r="D8" s="11"/>
      <c r="E8" s="11"/>
      <c r="F8" s="11"/>
      <c r="G8" s="11"/>
      <c r="H8" s="11"/>
      <c r="I8" s="11"/>
    </row>
    <row r="9" ht="20" customHeight="1">
      <c r="A9" s="2" t="inlineStr">
        <is>
          <t xml:space="preserve">System designs completed, timed</t>
        </is>
      </c>
      <c r="B9" s="11"/>
      <c r="C9" s="11"/>
      <c r="D9" s="11"/>
      <c r="E9" s="11"/>
      <c r="F9" s="11"/>
      <c r="G9" s="11"/>
      <c r="H9" s="11"/>
      <c r="I9" s="11"/>
    </row>
    <row r="10" ht="20" customHeight="1">
      <c r="A10" s="2" t="inlineStr">
        <is>
          <t xml:space="preserve">LLDs completed, timed</t>
        </is>
      </c>
      <c r="B10" s="11"/>
      <c r="C10" s="11"/>
      <c r="D10" s="11"/>
      <c r="E10" s="11"/>
      <c r="F10" s="11"/>
      <c r="G10" s="11"/>
      <c r="H10" s="11"/>
      <c r="I10" s="11"/>
    </row>
    <row r="11" ht="20" customHeight="1">
      <c r="A11" s="2" t="inlineStr">
        <is>
          <t xml:space="preserve">STAR stories written and rehearsed</t>
        </is>
      </c>
      <c r="B11" s="11"/>
      <c r="C11" s="11"/>
      <c r="D11" s="11"/>
      <c r="E11" s="11"/>
      <c r="F11" s="11"/>
      <c r="G11" s="11"/>
      <c r="H11" s="11"/>
      <c r="I11" s="11"/>
    </row>
    <row r="12" ht="20" customHeight="1">
      <c r="A12" s="2" t="inlineStr">
        <is>
          <t xml:space="preserve">Mock interviews done</t>
        </is>
      </c>
      <c r="B12" s="11"/>
      <c r="C12" s="11"/>
      <c r="D12" s="11"/>
      <c r="E12" s="11"/>
      <c r="F12" s="11"/>
      <c r="G12" s="11"/>
      <c r="H12" s="11"/>
      <c r="I12" s="11"/>
    </row>
    <row r="13" ht="20" customHeight="1">
      <c r="A13" s="2" t="inlineStr">
        <is>
          <t xml:space="preserve">Real interviews done</t>
        </is>
      </c>
      <c r="B13" s="11"/>
      <c r="C13" s="11"/>
      <c r="D13" s="11"/>
      <c r="E13" s="11"/>
      <c r="F13" s="11"/>
      <c r="G13" s="11"/>
      <c r="H13" s="11"/>
      <c r="I13" s="11"/>
    </row>
    <row r="14" ht="20" customHeight="1">
      <c r="A14" s="2" t="inlineStr">
        <is>
          <t xml:space="preserve">Root causes identified AND repaired</t>
        </is>
      </c>
      <c r="B14" s="11"/>
      <c r="C14" s="11"/>
      <c r="D14" s="11"/>
      <c r="E14" s="11"/>
      <c r="F14" s="11"/>
      <c r="G14" s="11"/>
      <c r="H14" s="11"/>
      <c r="I14" s="11"/>
    </row>
    <row r="15" ht="20" customHeight="1">
      <c r="A15" s="2" t="inlineStr">
        <is>
          <t xml:space="preserve">Applications sent</t>
        </is>
      </c>
      <c r="B15" s="11"/>
      <c r="C15" s="11"/>
      <c r="D15" s="11"/>
      <c r="E15" s="11"/>
      <c r="F15" s="11"/>
      <c r="G15" s="11"/>
      <c r="H15" s="11"/>
      <c r="I15" s="11"/>
    </row>
    <row r="16"/>
    <row r="17">
      <c r="A17" s="4" t="inlineStr">
        <is>
          <t xml:space="preserve">Not on this list, on purpose: hours studied, videos watched, pages read, tutorials finished. Those measure input. Every row above measures output, which is the only thing an interview can observe.</t>
        </is>
      </c>
    </row>
  </sheetData>
  <pageMargins left="0.5" right="0.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Study Plan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Software Engineer Transformation Tracker</dc:title>
  <dc:creator>Rahul Patel</dc:creator>
  <cp:lastModifiedBy>Rahul Patel</cp:lastModifiedBy>
  <dcterms:created xsi:type="dcterms:W3CDTF">2026-08-22T00:00:00Z</dcterms:created>
  <dcterms:modified xsi:type="dcterms:W3CDTF">2026-08-22T00:00:00Z</dcterms:modified>
</cp:coreProperties>
</file>