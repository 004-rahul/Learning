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" sheetId="1" r:id="rId1"/>
    <sheet name="DAILY" sheetId="2" r:id="rId2"/>
    <sheet name="DSA_LOG" sheetId="3" r:id="rId3"/>
    <sheet name="REVIEW" sheetId="4" r:id="rId4"/>
    <sheet name="WEAK" sheetId="5" r:id="rId5"/>
    <sheet name="DESIGNS" sheetId="6" r:id="rId6"/>
    <sheet name="STORIES" sheetId="7" r:id="rId7"/>
    <sheet name="JOURNAL" sheetId="8" r:id="rId8"/>
    <sheet name="PROJECT" sheetId="9" r:id="rId9"/>
    <sheet name="APPLY" sheetId="10" r:id="rId10"/>
    <sheet name="INTERVIEWS" sheetId="11" r:id="rId11"/>
    <sheet name="DASHBOARD" sheetId="12" r:id="rId1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ddd dd-mmm-yyyy"/>
  </numFmts>
  <fonts count="3">
    <font>
      <sz val="10"/>
      <name val="Calibri"/>
    </font>
    <font>
      <b/>
      <sz val="10"/>
      <name val="Calibri"/>
    </font>
    <font>
      <u/>
      <sz val="10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>
      <alignment wrapText="1" vertical="top"/>
    </xf>
    <xf numFmtId="164" fontId="0" fillId="0" borderId="0" xfId="0" applyNumberFormat="1">
      <alignment vertical="top"/>
    </xf>
    <xf numFmtId="0" fontId="0" fillId="0" borderId="0" xfId="0" applyAlignment="1">
      <alignment wrapText="1" vertical="top"/>
    </xf>
    <xf numFmtId="0" fontId="2" fillId="0" borderId="0" xfId="0" applyFo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8" customWidth="1"/>
    <col min="2" max="2" width="90" customWidth="1"/>
  </cols>
  <sheetData>
    <row r="1">
      <c r="A1" s="3" t="inlineStr">
        <is>
          <t xml:space="preserve">Preparation tracker</t>
        </is>
      </c>
      <c r="B1" s="3" t="inlineStr">
        <is>
          <t xml:space="preserve">One workbook for the whole plan. Fill it in daily; it takes about 5 minutes.</t>
        </is>
      </c>
    </row>
    <row r="2"/>
    <row r="3">
      <c r="A3" s="3" t="inlineStr">
        <is>
          <t xml:space="preserve">How dates work</t>
        </is>
      </c>
      <c r="B3" s="3" t="inlineStr">
        <is>
          <t xml:space="preserve">Change the START DATE below to the Monday you start. Every date in DAILY moves with it.</t>
        </is>
      </c>
    </row>
    <row r="4">
      <c r="A4" s="3" t="inlineStr">
        <is>
          <t xml:space="preserve">START DATE (a Monday)</t>
        </is>
      </c>
      <c r="B4" s="2">
        <v>46321</v>
      </c>
    </row>
    <row r="5"/>
    <row r="6">
      <c r="A6" s="3" t="inlineStr">
        <is>
          <t xml:space="preserve">DAILY</t>
        </is>
      </c>
      <c r="B6" s="3" t="inlineStr">
        <is>
          <t xml:space="preserve">One row per day (224). Status: Not started / In progress / Done / Needs review / Deferred. 'Done' only when the day's 'Done when' is true.</t>
        </is>
      </c>
    </row>
    <row r="7">
      <c r="A7" s="3" t="inlineStr">
        <is>
          <t xml:space="preserve">DSA_LOG</t>
        </is>
      </c>
      <c r="B7" s="3" t="inlineStr">
        <is>
          <t xml:space="preserve">Every planned problem, pre-filled. Fill Result, the date and the six fields. Re-solve dates calculate themselves (D+1, 3, 7, 14).</t>
        </is>
      </c>
    </row>
    <row r="8">
      <c r="A8" s="3" t="inlineStr">
        <is>
          <t xml:space="preserve">REVIEW</t>
        </is>
      </c>
      <c r="B8" s="3" t="inlineStr">
        <is>
          <t xml:space="preserve">Every 'explain aloud' question, pre-filled. Enter the date you learned it; review dates calculate (D+1, 3, 7, 14, 30).</t>
        </is>
      </c>
    </row>
    <row r="9">
      <c r="A9" s="3" t="inlineStr">
        <is>
          <t xml:space="preserve">WEAK</t>
        </is>
      </c>
      <c r="B9" s="3" t="inlineStr">
        <is>
          <t xml:space="preserve">Anything you could not explain or solve. Exit rule: two successful recalls at least 7 days apart.</t>
        </is>
      </c>
    </row>
    <row r="10">
      <c r="A10" s="3" t="inlineStr">
        <is>
          <t xml:space="preserve">DESIGNS</t>
        </is>
      </c>
      <c r="B10" s="3" t="inlineStr">
        <is>
          <t xml:space="preserve">Every HLD and LLD with its planned day. Score yourself out of 20 with the practice rubric.</t>
        </is>
      </c>
    </row>
    <row r="11">
      <c r="A11" s="3" t="inlineStr">
        <is>
          <t xml:space="preserve">STORIES</t>
        </is>
      </c>
      <c r="B11" s="3" t="inlineStr">
        <is>
          <t xml:space="preserve">Your real stories mapped to the 16 Amazon Leadership Principles. Never invent; leave unknown numbers blank.</t>
        </is>
      </c>
    </row>
    <row r="12">
      <c r="A12" s="3" t="inlineStr">
        <is>
          <t xml:space="preserve">JOURNAL</t>
        </is>
      </c>
      <c r="B12" s="3" t="inlineStr">
        <is>
          <t xml:space="preserve">One line per working day: problem, decision, outcome. This becomes your story bank.</t>
        </is>
      </c>
    </row>
    <row r="13">
      <c r="A13" s="3" t="inlineStr">
        <is>
          <t xml:space="preserve">PROJECT</t>
        </is>
      </c>
      <c r="B13" s="3" t="inlineStr">
        <is>
          <t xml:space="preserve">Milestones M1–M12 with acceptance tests.</t>
        </is>
      </c>
    </row>
    <row r="14">
      <c r="A14" s="3" t="inlineStr">
        <is>
          <t xml:space="preserve">APPLY / INTERVIEWS</t>
        </is>
      </c>
      <c r="B14" s="3" t="inlineStr">
        <is>
          <t xml:space="preserve">Applications from Week 21; an analysis within 24 hours of every interview.</t>
        </is>
      </c>
    </row>
    <row r="15">
      <c r="A15" s="3" t="inlineStr">
        <is>
          <t xml:space="preserve">DASHBOARD</t>
        </is>
      </c>
      <c r="B15" s="3" t="inlineStr">
        <is>
          <t xml:space="preserve">Counts that update themselves.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16" customWidth="1"/>
    <col min="3" max="3" width="8" customWidth="1"/>
    <col min="4" max="4" width="6" customWidth="1"/>
    <col min="5" max="5" width="34" customWidth="1"/>
    <col min="6" max="6" width="40" customWidth="1"/>
    <col min="7" max="7" width="60" customWidth="1"/>
    <col min="8" max="8" width="50" customWidth="1"/>
    <col min="9" max="9" width="50" customWidth="1"/>
    <col min="10" max="10" width="26" customWidth="1"/>
    <col min="11" max="11" width="14" customWidth="1"/>
    <col min="12" max="12" width="9" customWidth="1"/>
    <col min="13" max="13" width="11" customWidth="1"/>
    <col min="14" max="14" width="40" customWidth="1"/>
  </cols>
  <sheetData>
    <row r="1">
      <c r="A1" s="1" t="inlineStr">
        <is>
          <t xml:space="preserve">Day</t>
        </is>
      </c>
      <c r="B1" s="1" t="inlineStr">
        <is>
          <t xml:space="preserve">Date</t>
        </is>
      </c>
      <c r="C1" s="1" t="inlineStr">
        <is>
          <t xml:space="preserve">Weekday</t>
        </is>
      </c>
      <c r="D1" s="1" t="inlineStr">
        <is>
          <t xml:space="preserve">Week</t>
        </is>
      </c>
      <c r="E1" s="1" t="inlineStr">
        <is>
          <t xml:space="preserve">Phase</t>
        </is>
      </c>
      <c r="F1" s="1" t="inlineStr">
        <is>
          <t xml:space="preserve">Focus</t>
        </is>
      </c>
      <c r="G1" s="1" t="inlineStr">
        <is>
          <t xml:space="preserve">DSA problems</t>
        </is>
      </c>
      <c r="H1" s="1" t="inlineStr">
        <is>
          <t xml:space="preserve">Core / rotating topic</t>
        </is>
      </c>
      <c r="I1" s="1" t="inlineStr">
        <is>
          <t xml:space="preserve">Explain aloud</t>
        </is>
      </c>
      <c r="J1" s="1" t="inlineStr">
        <is>
          <t xml:space="preserve">Status</t>
        </is>
      </c>
      <c r="K1" s="1" t="inlineStr">
        <is>
          <t xml:space="preserve">Minutes</t>
        </is>
      </c>
      <c r="L1" s="1" t="inlineStr">
        <is>
          <t xml:space="preserve">Recall</t>
        </is>
      </c>
      <c r="M1" s="1" t="inlineStr">
        <is>
          <t xml:space="preserve">Week file</t>
        </is>
      </c>
      <c r="N1" s="1" t="inlineStr">
        <is>
          <t xml:space="preserve">Notes</t>
        </is>
      </c>
    </row>
    <row r="2">
      <c r="A2" s="3">
        <v>1</v>
      </c>
      <c r="B2" s="2">
        <f>START!$B$4+A2-1</f>
      </c>
      <c r="C2" s="3">
        <f>TEXT(B2,"ddd")</f>
      </c>
      <c r="D2" s="3">
        <v>1</v>
      </c>
      <c r="E2" s="3" t="inlineStr">
        <is>
          <t xml:space="preserve">Foundations</t>
        </is>
      </c>
      <c r="F2" s="3" t="inlineStr">
        <is>
          <t xml:space="preserve">Array representation and traversal</t>
        </is>
      </c>
      <c r="G2" s="3" t="inlineStr">
        <is>
          <t xml:space="preserve">Array basics: print, sum, max, min, count of a target (handle empty input)</t>
        </is>
      </c>
      <c r="H2" s="3" t="inlineStr">
        <is>
          <t xml:space="preserve">C# program basics: a console project, variables and built-in types, arrays and Length</t>
        </is>
      </c>
      <c r="I2" s="3" t="inlineStr">
        <is>
          <t xml:space="preserve">Why is reading a[i] O(1) but finding a value O(n)?</t>
        </is>
      </c>
      <c r="J2" s="3" t="inlineStr">
        <is>
          <t xml:space="preserve">Not started</t>
        </is>
      </c>
      <c r="M2" s="4">
        <f>HYPERLINK("WEEKS/WEEK_01.md","Week 1 · Day 1")</f>
      </c>
    </row>
    <row r="3">
      <c r="A3" s="3">
        <v>2</v>
      </c>
      <c r="B3" s="2">
        <f>START!$B$4+A3-1</f>
      </c>
      <c r="C3" s="3">
        <f>TEXT(B3,"ddd")</f>
      </c>
      <c r="D3" s="3">
        <v>1</v>
      </c>
      <c r="E3" s="3" t="inlineStr">
        <is>
          <t xml:space="preserve">Foundations</t>
        </is>
      </c>
      <c r="F3" s="3" t="inlineStr">
        <is>
          <t xml:space="preserve">Indexes, linear search and operation costs</t>
        </is>
      </c>
      <c r="G3" s="3" t="inlineStr">
        <is>
          <t xml:space="preserve">Linear search, first/last occurrence, minimum/maximum with index</t>
        </is>
      </c>
      <c r="H3" s="3" t="inlineStr">
        <is>
          <t xml:space="preserve">int vs long, integer division, overflow, checked arithmetic and conversions</t>
        </is>
      </c>
      <c r="I3" s="3" t="inlineStr">
        <is>
          <t xml:space="preserve">What is overflow and when should a sum use long?</t>
        </is>
      </c>
      <c r="J3" s="3" t="inlineStr">
        <is>
          <t xml:space="preserve">Not started</t>
        </is>
      </c>
      <c r="M3" s="4">
        <f>HYPERLINK("WEEKS/WEEK_01.md","Week 1 · Day 2")</f>
      </c>
    </row>
    <row r="4">
      <c r="A4" s="3">
        <v>3</v>
      </c>
      <c r="B4" s="2">
        <f>START!$B$4+A4-1</f>
      </c>
      <c r="C4" s="3">
        <f>TEXT(B4,"ddd")</f>
      </c>
      <c r="D4" s="3">
        <v>1</v>
      </c>
      <c r="E4" s="3" t="inlineStr">
        <is>
          <t xml:space="preserve">Foundations</t>
        </is>
      </c>
      <c r="F4" s="3" t="inlineStr">
        <is>
          <t xml:space="preserve">Swapping and reversing in place</t>
        </is>
      </c>
      <c r="G4" s="3" t="inlineStr">
        <is>
          <t xml:space="preserve">Reverse an array in place with two indexes (0, 1, odd, even lengths)</t>
        </is>
      </c>
      <c r="H4" s="3" t="inlineStr">
        <is>
          <t xml:space="preserve">Methods, parameters, return values; value types vs reference types</t>
        </is>
      </c>
      <c r="I4" s="3" t="inlineStr">
        <is>
          <t xml:space="preserve">What does a variable of a value type hold, and what does a reference-type variable hold?</t>
        </is>
      </c>
      <c r="J4" s="3" t="inlineStr">
        <is>
          <t xml:space="preserve">Not started</t>
        </is>
      </c>
      <c r="M4" s="4">
        <f>HYPERLINK("WEEKS/WEEK_01.md","Week 1 · Day 3")</f>
      </c>
    </row>
    <row r="5">
      <c r="A5" s="3">
        <v>4</v>
      </c>
      <c r="B5" s="2">
        <f>START!$B$4+A5-1</f>
      </c>
      <c r="C5" s="3">
        <f>TEXT(B5,"ddd")</f>
      </c>
      <c r="D5" s="3">
        <v>1</v>
      </c>
      <c r="E5" s="3" t="inlineStr">
        <is>
          <t xml:space="preserve">Foundations</t>
        </is>
      </c>
      <c r="F5" s="3" t="inlineStr">
        <is>
          <t xml:space="preserve">Sorted check and second-largest distinct</t>
        </is>
      </c>
      <c r="G5" s="3" t="inlineStr">
        <is>
          <t xml:space="preserve">Check sorted order; second-largest DISTINCT value</t>
        </is>
      </c>
      <c r="H5" s="3" t="inlineStr">
        <is>
          <t xml:space="preserve">Stack vs heap, where structs actually live, null vs empty, alias vs copy</t>
        </is>
      </c>
      <c r="I5" s="3" t="inlineStr">
        <is>
          <t xml:space="preserve">Where does a struct live — the stack or the heap? (It depends on where it is declared.)</t>
        </is>
      </c>
      <c r="J5" s="3" t="inlineStr">
        <is>
          <t xml:space="preserve">Not started</t>
        </is>
      </c>
      <c r="M5" s="4">
        <f>HYPERLINK("WEEKS/WEEK_01.md","Week 1 · Day 4")</f>
      </c>
    </row>
    <row r="6">
      <c r="A6" s="3">
        <v>5</v>
      </c>
      <c r="B6" s="2">
        <f>START!$B$4+A6-1</f>
      </c>
      <c r="C6" s="3">
        <f>TEXT(B6,"ddd")</f>
      </c>
      <c r="D6" s="3">
        <v>1</v>
      </c>
      <c r="E6" s="3" t="inlineStr">
        <is>
          <t xml:space="preserve">Foundations</t>
        </is>
      </c>
      <c r="F6" s="3" t="inlineStr">
        <is>
          <t xml:space="preserve">Repair and retrieval</t>
        </is>
      </c>
      <c r="G6" s="3" t="inlineStr">
        <is>
          <t xml:space="preserve">re-solves + Concatenation of Array</t>
        </is>
      </c>
      <c r="H6" s="3" t="inlineStr">
        <is>
          <t xml:space="preserve">re-explain the week</t>
        </is>
      </c>
      <c r="J6" s="3" t="inlineStr">
        <is>
          <t xml:space="preserve">Not started</t>
        </is>
      </c>
      <c r="M6" s="4">
        <f>HYPERLINK("WEEKS/WEEK_01.md","Week 1 · Day 5")</f>
      </c>
    </row>
    <row r="7">
      <c r="A7" s="3">
        <v>6</v>
      </c>
      <c r="B7" s="2">
        <f>START!$B$4+A7-1</f>
      </c>
      <c r="C7" s="3">
        <f>TEXT(B7,"ddd")</f>
      </c>
      <c r="D7" s="3">
        <v>1</v>
      </c>
      <c r="E7" s="3" t="inlineStr">
        <is>
          <t xml:space="preserve">Foundations</t>
        </is>
      </c>
      <c r="F7" s="3" t="inlineStr">
        <is>
          <t xml:space="preserve">Deep work: DSA + design + lab/project</t>
        </is>
      </c>
      <c r="G7" s="3" t="inlineStr">
        <is>
          <t xml:space="preserve">Insert / delete at an index by shifting, with spare capacity, Contains Duplicate</t>
        </is>
      </c>
      <c r="H7" s="3" t="inlineStr">
        <is>
          <t xml:space="preserve">How a web request works, on paper: client → DNS → server → API → database → response. Draw it. No scaling yet.</t>
        </is>
      </c>
      <c r="J7" s="3" t="inlineStr">
        <is>
          <t xml:space="preserve">Not started</t>
        </is>
      </c>
      <c r="M7" s="4">
        <f>HYPERLINK("WEEKS/WEEK_01.md","Week 1 · Day 6")</f>
      </c>
    </row>
    <row r="8">
      <c r="A8" s="3">
        <v>7</v>
      </c>
      <c r="B8" s="2">
        <f>START!$B$4+A8-1</f>
      </c>
      <c r="C8" s="3">
        <f>TEXT(B8,"ddd")</f>
      </c>
      <c r="D8" s="3">
        <v>1</v>
      </c>
      <c r="E8" s="3" t="inlineStr">
        <is>
          <t xml:space="preserve">Foundations</t>
        </is>
      </c>
      <c r="F8" s="3" t="inlineStr">
        <is>
          <t xml:space="preserve">Weekly test, review, project, stories</t>
        </is>
      </c>
      <c r="H8" s="3" t="inlineStr">
        <is>
          <t xml:space="preserve">Predict-then-run lab: write 6 small C# examples about assignment and parameters (int, struct, class, array, string, ref)</t>
        </is>
      </c>
      <c r="J8" s="3" t="inlineStr">
        <is>
          <t xml:space="preserve">Not started</t>
        </is>
      </c>
      <c r="M8" s="4">
        <f>HYPERLINK("WEEKS/WEEK_01.md","Week 1 · Day 7")</f>
      </c>
    </row>
    <row r="9">
      <c r="A9" s="3">
        <v>8</v>
      </c>
      <c r="B9" s="2">
        <f>START!$B$4+A9-1</f>
      </c>
      <c r="C9" s="3">
        <f>TEXT(B9,"ddd")</f>
      </c>
      <c r="D9" s="3">
        <v>2</v>
      </c>
      <c r="E9" s="3" t="inlineStr">
        <is>
          <t xml:space="preserve">Foundations</t>
        </is>
      </c>
      <c r="F9" s="3" t="inlineStr">
        <is>
          <t xml:space="preserve">Set membership and duplicate detection</t>
        </is>
      </c>
      <c r="G9" s="3" t="inlineStr">
        <is>
          <t xml:space="preserve">Contains Duplicate, Frequency map of an int[] with Dictionary (TryGetValue)</t>
        </is>
      </c>
      <c r="H9" s="3" t="inlineStr">
        <is>
          <t xml:space="preserve">Struct vs class, boxing and its hidden cost, nullable value types</t>
        </is>
      </c>
      <c r="I9" s="3" t="inlineStr">
        <is>
          <t xml:space="preserve">What is boxing, what does it cost, and name three places it happens by accident.</t>
        </is>
      </c>
      <c r="J9" s="3" t="inlineStr">
        <is>
          <t xml:space="preserve">Not started</t>
        </is>
      </c>
      <c r="M9" s="4">
        <f>HYPERLINK("WEEKS/WEEK_02.md","Week 2 · Day 8")</f>
      </c>
    </row>
    <row r="10">
      <c r="A10" s="3">
        <v>9</v>
      </c>
      <c r="B10" s="2">
        <f>START!$B$4+A10-1</f>
      </c>
      <c r="C10" s="3">
        <f>TEXT(B10,"ddd")</f>
      </c>
      <c r="D10" s="3">
        <v>2</v>
      </c>
      <c r="E10" s="3" t="inlineStr">
        <is>
          <t xml:space="preserve">Foundations</t>
        </is>
      </c>
      <c r="F10" s="3" t="inlineStr">
        <is>
          <t xml:space="preserve">Two Sum, brute force first</t>
        </is>
      </c>
      <c r="G10" s="3" t="inlineStr">
        <is>
          <t xml:space="preserve">Two Sum</t>
        </is>
      </c>
      <c r="H10" s="3" t="inlineStr">
        <is>
          <t xml:space="preserve">Equality: ==, Equals, GetHashCode, IEquatable&lt;T&gt;, records</t>
        </is>
      </c>
      <c r="I10" s="3" t="inlineStr">
        <is>
          <t xml:space="preserve">State the Equals/GetHashCode contract and what breaks without it.</t>
        </is>
      </c>
      <c r="J10" s="3" t="inlineStr">
        <is>
          <t xml:space="preserve">Not started</t>
        </is>
      </c>
      <c r="M10" s="4">
        <f>HYPERLINK("WEEKS/WEEK_02.md","Week 2 · Day 9")</f>
      </c>
    </row>
    <row r="11">
      <c r="A11" s="3">
        <v>10</v>
      </c>
      <c r="B11" s="2">
        <f>START!$B$4+A11-1</f>
      </c>
      <c r="C11" s="3">
        <f>TEXT(B11,"ddd")</f>
      </c>
      <c r="D11" s="3">
        <v>2</v>
      </c>
      <c r="E11" s="3" t="inlineStr">
        <is>
          <t xml:space="preserve">Foundations</t>
        </is>
      </c>
      <c r="F11" s="3" t="inlineStr">
        <is>
          <t xml:space="preserve">Two Sum in one pass with a map</t>
        </is>
      </c>
      <c r="G11" s="3" t="inlineStr">
        <is>
          <t xml:space="preserve">Two Sum, Longest Consecutive Sequence</t>
        </is>
      </c>
      <c r="H11" s="3" t="inlineStr">
        <is>
          <t xml:space="preserve">List&lt;T&gt;, Dictionary and HashSet internals: growth, buckets, collisions</t>
        </is>
      </c>
      <c r="I11" s="3" t="inlineStr">
        <is>
          <t xml:space="preserve">Why is Dictionary lookup O(1) on average, and what makes it O(n)?</t>
        </is>
      </c>
      <c r="J11" s="3" t="inlineStr">
        <is>
          <t xml:space="preserve">Not started</t>
        </is>
      </c>
      <c r="M11" s="4">
        <f>HYPERLINK("WEEKS/WEEK_02.md","Week 2 · Day 10")</f>
      </c>
    </row>
    <row r="12">
      <c r="A12" s="3">
        <v>11</v>
      </c>
      <c r="B12" s="2">
        <f>START!$B$4+A12-1</f>
      </c>
      <c r="C12" s="3">
        <f>TEXT(B12,"ddd")</f>
      </c>
      <c r="D12" s="3">
        <v>2</v>
      </c>
      <c r="E12" s="3" t="inlineStr">
        <is>
          <t xml:space="preserve">Foundations</t>
        </is>
      </c>
      <c r="F12" s="3" t="inlineStr">
        <is>
          <t xml:space="preserve">Reader and writer pointers</t>
        </is>
      </c>
      <c r="G12" s="3" t="inlineStr">
        <is>
          <t xml:space="preserve">Move Zeroes, Remove Element</t>
        </is>
      </c>
      <c r="H12" s="3" t="inlineStr">
        <is>
          <t xml:space="preserve">ref, out, in; const vs readonly vs static; static constructors; object memory layout</t>
        </is>
      </c>
      <c r="I12" s="3" t="inlineStr">
        <is>
          <t xml:space="preserve">Explain ref, out and in in one sentence each.</t>
        </is>
      </c>
      <c r="J12" s="3" t="inlineStr">
        <is>
          <t xml:space="preserve">Not started</t>
        </is>
      </c>
      <c r="M12" s="4">
        <f>HYPERLINK("WEEKS/WEEK_02.md","Week 2 · Day 11")</f>
      </c>
    </row>
    <row r="13">
      <c r="A13" s="3">
        <v>12</v>
      </c>
      <c r="B13" s="2">
        <f>START!$B$4+A13-1</f>
      </c>
      <c r="C13" s="3">
        <f>TEXT(B13,"ddd")</f>
      </c>
      <c r="D13" s="3">
        <v>2</v>
      </c>
      <c r="E13" s="3" t="inlineStr">
        <is>
          <t xml:space="preserve">Foundations</t>
        </is>
      </c>
      <c r="F13" s="3" t="inlineStr">
        <is>
          <t xml:space="preserve">Repair and retrieval</t>
        </is>
      </c>
      <c r="G13" s="3" t="inlineStr">
        <is>
          <t xml:space="preserve">re-solves + Find All Numbers Disappeared in an Array</t>
        </is>
      </c>
      <c r="H13" s="3" t="inlineStr">
        <is>
          <t xml:space="preserve">re-explain the week</t>
        </is>
      </c>
      <c r="J13" s="3" t="inlineStr">
        <is>
          <t xml:space="preserve">Not started</t>
        </is>
      </c>
      <c r="M13" s="4">
        <f>HYPERLINK("WEEKS/WEEK_02.md","Week 2 · Day 12")</f>
      </c>
    </row>
    <row r="14">
      <c r="A14" s="3">
        <v>13</v>
      </c>
      <c r="B14" s="2">
        <f>START!$B$4+A14-1</f>
      </c>
      <c r="C14" s="3">
        <f>TEXT(B14,"ddd")</f>
      </c>
      <c r="D14" s="3">
        <v>2</v>
      </c>
      <c r="E14" s="3" t="inlineStr">
        <is>
          <t xml:space="preserve">Foundations</t>
        </is>
      </c>
      <c r="F14" s="3" t="inlineStr">
        <is>
          <t xml:space="preserve">Deep work: DSA + design + lab/project</t>
        </is>
      </c>
      <c r="G14" s="3" t="inlineStr">
        <is>
          <t xml:space="preserve">Remove Duplicates from Sorted Array, Running Sum of 1d Array, Plus One, Merge Sorted Array, Range Sum Query - Immutable</t>
        </is>
      </c>
      <c r="H14" s="3" t="inlineStr">
        <is>
          <t xml:space="preserve">API contract on paper: POST /jobs and GET /jobs/{id} — inputs, validation, status codes, stored fields. No code.</t>
        </is>
      </c>
      <c r="J14" s="3" t="inlineStr">
        <is>
          <t xml:space="preserve">Not started</t>
        </is>
      </c>
      <c r="M14" s="4">
        <f>HYPERLINK("WEEKS/WEEK_02.md","Week 2 · Day 13")</f>
      </c>
    </row>
    <row r="15">
      <c r="A15" s="3">
        <v>14</v>
      </c>
      <c r="B15" s="2">
        <f>START!$B$4+A15-1</f>
      </c>
      <c r="C15" s="3">
        <f>TEXT(B15,"ddd")</f>
      </c>
      <c r="D15" s="3">
        <v>2</v>
      </c>
      <c r="E15" s="3" t="inlineStr">
        <is>
          <t xml:space="preserve">Foundations</t>
        </is>
      </c>
      <c r="F15" s="3" t="inlineStr">
        <is>
          <t xml:space="preserve">Weekly test, review, project, stories</t>
        </is>
      </c>
      <c r="H15" s="3" t="inlineStr">
        <is>
          <t xml:space="preserve">Re-solve Two Sum cold. Then explain Range Sum Query (303) from Saturday: derive prefix[r+1] − prefix[l] on paper, includ</t>
        </is>
      </c>
      <c r="J15" s="3" t="inlineStr">
        <is>
          <t xml:space="preserve">Not started</t>
        </is>
      </c>
      <c r="M15" s="4">
        <f>HYPERLINK("WEEKS/WEEK_02.md","Week 2 · Day 14")</f>
      </c>
    </row>
    <row r="16">
      <c r="A16" s="3">
        <v>15</v>
      </c>
      <c r="B16" s="2">
        <f>START!$B$4+A16-1</f>
      </c>
      <c r="C16" s="3">
        <f>TEXT(B16,"ddd")</f>
      </c>
      <c r="D16" s="3">
        <v>3</v>
      </c>
      <c r="E16" s="3" t="inlineStr">
        <is>
          <t xml:space="preserve">Foundations</t>
        </is>
      </c>
      <c r="F16" s="3" t="inlineStr">
        <is>
          <t xml:space="preserve">String traversal and frequency</t>
        </is>
      </c>
      <c r="G16" s="3" t="inlineStr">
        <is>
          <t xml:space="preserve">Valid Anagram, Ransom Note</t>
        </is>
      </c>
      <c r="H16" s="3" t="inlineStr">
        <is>
          <t xml:space="preserve">Strings: immutability, interning, StringBuilder, why concatenation in a loop is O(n²)</t>
        </is>
      </c>
      <c r="I16" s="3" t="inlineStr">
        <is>
          <t xml:space="preserve">Why is string concatenation in a loop O(n²)?</t>
        </is>
      </c>
      <c r="J16" s="3" t="inlineStr">
        <is>
          <t xml:space="preserve">Not started</t>
        </is>
      </c>
      <c r="M16" s="4">
        <f>HYPERLINK("WEEKS/WEEK_03.md","Week 3 · Day 15")</f>
      </c>
    </row>
    <row r="17">
      <c r="A17" s="3">
        <v>16</v>
      </c>
      <c r="B17" s="2">
        <f>START!$B$4+A17-1</f>
      </c>
      <c r="C17" s="3">
        <f>TEXT(B17,"ddd")</f>
      </c>
      <c r="D17" s="3">
        <v>3</v>
      </c>
      <c r="E17" s="3" t="inlineStr">
        <is>
          <t xml:space="preserve">Foundations</t>
        </is>
      </c>
      <c r="F17" s="3" t="inlineStr">
        <is>
          <t xml:space="preserve">Opposite-end pointers</t>
        </is>
      </c>
      <c r="G17" s="3" t="inlineStr">
        <is>
          <t xml:space="preserve">Valid Palindrome, Valid Palindrome II</t>
        </is>
      </c>
      <c r="H17" s="3" t="inlineStr">
        <is>
          <t xml:space="preserve">Classes, constructors and chaining, fields vs properties, the six access modifiers</t>
        </is>
      </c>
      <c r="I17" s="3" t="inlineStr">
        <is>
          <t xml:space="preserve">What is the job of a constructor?</t>
        </is>
      </c>
      <c r="J17" s="3" t="inlineStr">
        <is>
          <t xml:space="preserve">Not started</t>
        </is>
      </c>
      <c r="M17" s="4">
        <f>HYPERLINK("WEEKS/WEEK_03.md","Week 3 · Day 16")</f>
      </c>
    </row>
    <row r="18">
      <c r="A18" s="3">
        <v>17</v>
      </c>
      <c r="B18" s="2">
        <f>START!$B$4+A18-1</f>
      </c>
      <c r="C18" s="3">
        <f>TEXT(B18,"ddd")</f>
      </c>
      <c r="D18" s="3">
        <v>3</v>
      </c>
      <c r="E18" s="3" t="inlineStr">
        <is>
          <t xml:space="preserve">Foundations</t>
        </is>
      </c>
      <c r="F18" s="3" t="inlineStr">
        <is>
          <t xml:space="preserve">Pointers on sorted input</t>
        </is>
      </c>
      <c r="G18" s="3" t="inlineStr">
        <is>
          <t xml:space="preserve">Two Sum II - Input Array Is Sorted, Squares of a Sorted Array</t>
        </is>
      </c>
      <c r="H18" s="3" t="inlineStr">
        <is>
          <t xml:space="preserve">virtual / override / new; interface vs abstract class</t>
        </is>
      </c>
      <c r="I18" s="3" t="inlineStr">
        <is>
          <t xml:space="preserve">Interface or abstract class — how do you decide?</t>
        </is>
      </c>
      <c r="J18" s="3" t="inlineStr">
        <is>
          <t xml:space="preserve">Not started</t>
        </is>
      </c>
      <c r="M18" s="4">
        <f>HYPERLINK("WEEKS/WEEK_03.md","Week 3 · Day 17")</f>
      </c>
    </row>
    <row r="19">
      <c r="A19" s="3">
        <v>18</v>
      </c>
      <c r="B19" s="2">
        <f>START!$B$4+A19-1</f>
      </c>
      <c r="C19" s="3">
        <f>TEXT(B19,"ddd")</f>
      </c>
      <c r="D19" s="3">
        <v>3</v>
      </c>
      <c r="E19" s="3" t="inlineStr">
        <is>
          <t xml:space="preserve">Foundations</t>
        </is>
      </c>
      <c r="F19" s="3" t="inlineStr">
        <is>
          <t xml:space="preserve">Fixed-size windows</t>
        </is>
      </c>
      <c r="G19" s="3" t="inlineStr">
        <is>
          <t xml:space="preserve">Maximum Average Subarray I, Longest Common Prefix</t>
        </is>
      </c>
      <c r="H19" s="3" t="inlineStr">
        <is>
          <t xml:space="preserve">Composition over inheritance; generics, constraints and variance; generics vs Java erasure</t>
        </is>
      </c>
      <c r="I19" s="3" t="inlineStr">
        <is>
          <t xml:space="preserve">Why composition over inheritance?</t>
        </is>
      </c>
      <c r="J19" s="3" t="inlineStr">
        <is>
          <t xml:space="preserve">Not started</t>
        </is>
      </c>
      <c r="M19" s="4">
        <f>HYPERLINK("WEEKS/WEEK_03.md","Week 3 · Day 18")</f>
      </c>
    </row>
    <row r="20">
      <c r="A20" s="3">
        <v>19</v>
      </c>
      <c r="B20" s="2">
        <f>START!$B$4+A20-1</f>
      </c>
      <c r="C20" s="3">
        <f>TEXT(B20,"ddd")</f>
      </c>
      <c r="D20" s="3">
        <v>3</v>
      </c>
      <c r="E20" s="3" t="inlineStr">
        <is>
          <t xml:space="preserve">Foundations</t>
        </is>
      </c>
      <c r="F20" s="3" t="inlineStr">
        <is>
          <t xml:space="preserve">Repair and retrieval</t>
        </is>
      </c>
      <c r="G20" s="3" t="inlineStr">
        <is>
          <t xml:space="preserve">re-solves + Reverse String</t>
        </is>
      </c>
      <c r="H20" s="3" t="inlineStr">
        <is>
          <t xml:space="preserve">re-explain the week</t>
        </is>
      </c>
      <c r="J20" s="3" t="inlineStr">
        <is>
          <t xml:space="preserve">Not started</t>
        </is>
      </c>
      <c r="M20" s="4">
        <f>HYPERLINK("WEEKS/WEEK_03.md","Week 3 · Day 19")</f>
      </c>
    </row>
    <row r="21">
      <c r="A21" s="3">
        <v>20</v>
      </c>
      <c r="B21" s="2">
        <f>START!$B$4+A21-1</f>
      </c>
      <c r="C21" s="3">
        <f>TEXT(B21,"ddd")</f>
      </c>
      <c r="D21" s="3">
        <v>3</v>
      </c>
      <c r="E21" s="3" t="inlineStr">
        <is>
          <t xml:space="preserve">Foundations</t>
        </is>
      </c>
      <c r="F21" s="3" t="inlineStr">
        <is>
          <t xml:space="preserve">Deep work: DSA + design + lab/project</t>
        </is>
      </c>
      <c r="G21" s="3" t="inlineStr">
        <is>
          <t xml:space="preserve">First Unique Character in a String, Isomorphic Strings, Word Pattern, 3Sum</t>
        </is>
      </c>
      <c r="H21" s="3" t="inlineStr">
        <is>
          <t xml:space="preserve">URL shortener — requirements only: 3 functional requirements, 3 constraints, the redirect API. Single server. Read the c</t>
        </is>
      </c>
      <c r="J21" s="3" t="inlineStr">
        <is>
          <t xml:space="preserve">Not started</t>
        </is>
      </c>
      <c r="M21" s="4">
        <f>HYPERLINK("WEEKS/WEEK_03.md","Week 3 · Day 20")</f>
      </c>
    </row>
    <row r="22">
      <c r="A22" s="3">
        <v>21</v>
      </c>
      <c r="B22" s="2">
        <f>START!$B$4+A22-1</f>
      </c>
      <c r="C22" s="3">
        <f>TEXT(B22,"ddd")</f>
      </c>
      <c r="D22" s="3">
        <v>3</v>
      </c>
      <c r="E22" s="3" t="inlineStr">
        <is>
          <t xml:space="preserve">Foundations</t>
        </is>
      </c>
      <c r="F22" s="3" t="inlineStr">
        <is>
          <t xml:space="preserve">Weekly test, review, project, stories</t>
        </is>
      </c>
      <c r="H22" s="3" t="inlineStr">
        <is>
          <t xml:space="preserve">Implement IComparable&lt;T&gt; and IEquatable&lt;T&gt; on a Money record; sort a list of jobs by priority with a custom IComparer.</t>
        </is>
      </c>
      <c r="J22" s="3" t="inlineStr">
        <is>
          <t xml:space="preserve">Not started</t>
        </is>
      </c>
      <c r="M22" s="4">
        <f>HYPERLINK("WEEKS/WEEK_03.md","Week 3 · Day 21")</f>
      </c>
    </row>
    <row r="23">
      <c r="A23" s="3">
        <v>22</v>
      </c>
      <c r="B23" s="2">
        <f>START!$B$4+A23-1</f>
      </c>
      <c r="C23" s="3">
        <f>TEXT(B23,"ddd")</f>
      </c>
      <c r="D23" s="3">
        <v>4</v>
      </c>
      <c r="E23" s="3" t="inlineStr">
        <is>
          <t xml:space="preserve">Foundations</t>
        </is>
      </c>
      <c r="F23" s="3" t="inlineStr">
        <is>
          <t xml:space="preserve">Window validity and shrink rules</t>
        </is>
      </c>
      <c r="G23" s="3" t="inlineStr">
        <is>
          <t xml:space="preserve">Longest Substring Without Repeating Characters</t>
        </is>
      </c>
      <c r="H23" s="3" t="inlineStr">
        <is>
          <t xml:space="preserve">IEnumerable vs ICollection vs IList vs IQueryable; what yield return compiles into</t>
        </is>
      </c>
      <c r="I23" s="3" t="inlineStr">
        <is>
          <t xml:space="preserve">IEnumerable vs IQueryable — why does it matter for a database query?</t>
        </is>
      </c>
      <c r="J23" s="3" t="inlineStr">
        <is>
          <t xml:space="preserve">Not started</t>
        </is>
      </c>
      <c r="M23" s="4">
        <f>HYPERLINK("WEEKS/WEEK_04.md","Week 4 · Day 22")</f>
      </c>
    </row>
    <row r="24">
      <c r="A24" s="3">
        <v>23</v>
      </c>
      <c r="B24" s="2">
        <f>START!$B$4+A24-1</f>
      </c>
      <c r="C24" s="3">
        <f>TEXT(B24,"ddd")</f>
      </c>
      <c r="D24" s="3">
        <v>4</v>
      </c>
      <c r="E24" s="3" t="inlineStr">
        <is>
          <t xml:space="preserve">Foundations</t>
        </is>
      </c>
      <c r="F24" s="3" t="inlineStr">
        <is>
          <t xml:space="preserve">Monotone windows and their limits</t>
        </is>
      </c>
      <c r="G24" s="3" t="inlineStr">
        <is>
          <t xml:space="preserve">Minimum Size Subarray Sum, Max Consecutive Ones III</t>
        </is>
      </c>
      <c r="H24" s="3" t="inlineStr">
        <is>
          <t xml:space="preserve">Deferred execution and LINQ costs</t>
        </is>
      </c>
      <c r="I24" s="3" t="inlineStr">
        <is>
          <t xml:space="preserve">What is deferred execution and give one bug it causes.</t>
        </is>
      </c>
      <c r="J24" s="3" t="inlineStr">
        <is>
          <t xml:space="preserve">Not started</t>
        </is>
      </c>
      <c r="M24" s="4">
        <f>HYPERLINK("WEEKS/WEEK_04.md","Week 4 · Day 23")</f>
      </c>
    </row>
    <row r="25">
      <c r="A25" s="3">
        <v>24</v>
      </c>
      <c r="B25" s="2">
        <f>START!$B$4+A25-1</f>
      </c>
      <c r="C25" s="3">
        <f>TEXT(B25,"ddd")</f>
      </c>
      <c r="D25" s="3">
        <v>4</v>
      </c>
      <c r="E25" s="3" t="inlineStr">
        <is>
          <t xml:space="preserve">Foundations</t>
        </is>
      </c>
      <c r="F25" s="3" t="inlineStr">
        <is>
          <t xml:space="preserve">Prefix sums plus a frequency map</t>
        </is>
      </c>
      <c r="G25" s="3" t="inlineStr">
        <is>
          <t xml:space="preserve">Subarray Sum Equals K</t>
        </is>
      </c>
      <c r="H25" s="3" t="inlineStr">
        <is>
          <t xml:space="preserve">Delegates, lambdas, closures and events</t>
        </is>
      </c>
      <c r="I25" s="3" t="inlineStr">
        <is>
          <t xml:space="preserve">What does a closure allocate, and what is the loop-variable trap?</t>
        </is>
      </c>
      <c r="J25" s="3" t="inlineStr">
        <is>
          <t xml:space="preserve">Not started</t>
        </is>
      </c>
      <c r="M25" s="4">
        <f>HYPERLINK("WEEKS/WEEK_04.md","Week 4 · Day 24")</f>
      </c>
    </row>
    <row r="26">
      <c r="A26" s="3">
        <v>25</v>
      </c>
      <c r="B26" s="2">
        <f>START!$B$4+A26-1</f>
      </c>
      <c r="C26" s="3">
        <f>TEXT(B26,"ddd")</f>
      </c>
      <c r="D26" s="3">
        <v>4</v>
      </c>
      <c r="E26" s="3" t="inlineStr">
        <is>
          <t xml:space="preserve">Foundations</t>
        </is>
      </c>
      <c r="F26" s="3" t="inlineStr">
        <is>
          <t xml:space="preserve">Local and global optimum (Kadane)</t>
        </is>
      </c>
      <c r="G26" s="3" t="inlineStr">
        <is>
          <t xml:space="preserve">Best Time to Buy and Sell Stock, Maximum Subarray</t>
        </is>
      </c>
      <c r="H26" s="3" t="inlineStr">
        <is>
          <t xml:space="preserve">Exceptions: throw vs throw ex, filters, cost, using and IDisposable basics</t>
        </is>
      </c>
      <c r="I26" s="3" t="inlineStr">
        <is>
          <t xml:space="preserve">What is the difference between throw and throw ex?</t>
        </is>
      </c>
      <c r="J26" s="3" t="inlineStr">
        <is>
          <t xml:space="preserve">Not started</t>
        </is>
      </c>
      <c r="M26" s="4">
        <f>HYPERLINK("WEEKS/WEEK_04.md","Week 4 · Day 25")</f>
      </c>
    </row>
    <row r="27">
      <c r="A27" s="3">
        <v>26</v>
      </c>
      <c r="B27" s="2">
        <f>START!$B$4+A27-1</f>
      </c>
      <c r="C27" s="3">
        <f>TEXT(B27,"ddd")</f>
      </c>
      <c r="D27" s="3">
        <v>4</v>
      </c>
      <c r="E27" s="3" t="inlineStr">
        <is>
          <t xml:space="preserve">Foundations</t>
        </is>
      </c>
      <c r="F27" s="3" t="inlineStr">
        <is>
          <t xml:space="preserve">Repair and retrieval</t>
        </is>
      </c>
      <c r="G27" s="3" t="inlineStr">
        <is>
          <t xml:space="preserve">re-solves + Contains Duplicate II</t>
        </is>
      </c>
      <c r="H27" s="3" t="inlineStr">
        <is>
          <t xml:space="preserve">re-explain the week</t>
        </is>
      </c>
      <c r="J27" s="3" t="inlineStr">
        <is>
          <t xml:space="preserve">Not started</t>
        </is>
      </c>
      <c r="M27" s="4">
        <f>HYPERLINK("WEEKS/WEEK_04.md","Week 4 · Day 26")</f>
      </c>
    </row>
    <row r="28">
      <c r="A28" s="3">
        <v>27</v>
      </c>
      <c r="B28" s="2">
        <f>START!$B$4+A28-1</f>
      </c>
      <c r="C28" s="3">
        <f>TEXT(B28,"ddd")</f>
      </c>
      <c r="D28" s="3">
        <v>4</v>
      </c>
      <c r="E28" s="3" t="inlineStr">
        <is>
          <t xml:space="preserve">Foundations</t>
        </is>
      </c>
      <c r="F28" s="3" t="inlineStr">
        <is>
          <t xml:space="preserve">Deep work: DSA + design + lab/project</t>
        </is>
      </c>
      <c r="G28" s="3" t="inlineStr">
        <is>
          <t xml:space="preserve">Product of Array Except Self, Longest Repeating Character Replacement, Permutation in String, Group Anagrams</t>
        </is>
      </c>
      <c r="H28" s="3" t="inlineStr">
        <is>
          <t xml:space="preserve">URL shortener — data model and key generation (base62 counter vs hash), a cache, and a request-rate estimate. Still one </t>
        </is>
      </c>
      <c r="J28" s="3" t="inlineStr">
        <is>
          <t xml:space="preserve">Not started</t>
        </is>
      </c>
      <c r="M28" s="4">
        <f>HYPERLINK("WEEKS/WEEK_04.md","Week 4 · Day 27")</f>
      </c>
    </row>
    <row r="29">
      <c r="A29" s="3">
        <v>28</v>
      </c>
      <c r="B29" s="2">
        <f>START!$B$4+A29-1</f>
      </c>
      <c r="C29" s="3">
        <f>TEXT(B29,"ddd")</f>
      </c>
      <c r="D29" s="3">
        <v>4</v>
      </c>
      <c r="E29" s="3" t="inlineStr">
        <is>
          <t xml:space="preserve">Foundations</t>
        </is>
      </c>
      <c r="F29" s="3" t="inlineStr">
        <is>
          <t xml:space="preserve">Month 1 checkpoint</t>
        </is>
      </c>
      <c r="H29" s="3" t="inlineStr">
        <is>
          <t xml:space="preserve">Month 1 test (see checkpoint below). Then repair the weakest prerequisite you found.</t>
        </is>
      </c>
      <c r="J29" s="3" t="inlineStr">
        <is>
          <t xml:space="preserve">Not started</t>
        </is>
      </c>
      <c r="M29" s="4">
        <f>HYPERLINK("WEEKS/WEEK_04.md","Week 4 · Day 28")</f>
      </c>
    </row>
    <row r="30">
      <c r="A30" s="3">
        <v>29</v>
      </c>
      <c r="B30" s="2">
        <f>START!$B$4+A30-1</f>
      </c>
      <c r="C30" s="3">
        <f>TEXT(B30,"ddd")</f>
      </c>
      <c r="D30" s="3">
        <v>5</v>
      </c>
      <c r="E30" s="3" t="inlineStr">
        <is>
          <t xml:space="preserve">Foundations</t>
        </is>
      </c>
      <c r="F30" s="3" t="inlineStr">
        <is>
          <t xml:space="preserve">Binary search invariant</t>
        </is>
      </c>
      <c r="G30" s="3" t="inlineStr">
        <is>
          <t xml:space="preserve">Binary Search, Search Insert Position</t>
        </is>
      </c>
      <c r="H30" s="3" t="inlineStr">
        <is>
          <t xml:space="preserve">IDisposable, using, the dispose pattern and finalizers</t>
        </is>
      </c>
      <c r="I30" s="3" t="inlineStr">
        <is>
          <t xml:space="preserve">Why does a finalizer make collection take (at least) two GC cycles?</t>
        </is>
      </c>
      <c r="J30" s="3" t="inlineStr">
        <is>
          <t xml:space="preserve">Not started</t>
        </is>
      </c>
      <c r="M30" s="4">
        <f>HYPERLINK("WEEKS/WEEK_05.md","Week 5 · Day 29")</f>
      </c>
    </row>
    <row r="31">
      <c r="A31" s="3">
        <v>30</v>
      </c>
      <c r="B31" s="2">
        <f>START!$B$4+A31-1</f>
      </c>
      <c r="C31" s="3">
        <f>TEXT(B31,"ddd")</f>
      </c>
      <c r="D31" s="3">
        <v>5</v>
      </c>
      <c r="E31" s="3" t="inlineStr">
        <is>
          <t xml:space="preserve">Foundations</t>
        </is>
      </c>
      <c r="F31" s="3" t="inlineStr">
        <is>
          <t xml:space="preserve">Lower and upper bounds</t>
        </is>
      </c>
      <c r="G31" s="3" t="inlineStr">
        <is>
          <t xml:space="preserve">Find First and Last Position of Element in Sorted Array, First Bad Version</t>
        </is>
      </c>
      <c r="H31" s="3" t="inlineStr">
        <is>
          <t xml:space="preserve">GC generations, the large object heap, workstation vs server GC</t>
        </is>
      </c>
      <c r="I31" s="3" t="inlineStr">
        <is>
          <t xml:space="preserve">Why is a gen 0 collection cheap and a gen 2 collection expensive?</t>
        </is>
      </c>
      <c r="J31" s="3" t="inlineStr">
        <is>
          <t xml:space="preserve">Not started</t>
        </is>
      </c>
      <c r="M31" s="4">
        <f>HYPERLINK("WEEKS/WEEK_05.md","Week 5 · Day 30")</f>
      </c>
    </row>
    <row r="32">
      <c r="A32" s="3">
        <v>31</v>
      </c>
      <c r="B32" s="2">
        <f>START!$B$4+A32-1</f>
      </c>
      <c r="C32" s="3">
        <f>TEXT(B32,"ddd")</f>
      </c>
      <c r="D32" s="3">
        <v>5</v>
      </c>
      <c r="E32" s="3" t="inlineStr">
        <is>
          <t xml:space="preserve">Foundations</t>
        </is>
      </c>
      <c r="F32" s="3" t="inlineStr">
        <is>
          <t xml:space="preserve">Rotated sorted arrays</t>
        </is>
      </c>
      <c r="G32" s="3" t="inlineStr">
        <is>
          <t xml:space="preserve">Find Minimum in Rotated Sorted Array, Search in Rotated Sorted Array</t>
        </is>
      </c>
      <c r="H32" s="3" t="inlineStr">
        <is>
          <t xml:space="preserve">async/await: what await does and the generated state machine</t>
        </is>
      </c>
      <c r="I32" s="3" t="inlineStr">
        <is>
          <t xml:space="preserve">What does await actually do?</t>
        </is>
      </c>
      <c r="J32" s="3" t="inlineStr">
        <is>
          <t xml:space="preserve">Not started</t>
        </is>
      </c>
      <c r="M32" s="4">
        <f>HYPERLINK("WEEKS/WEEK_05.md","Week 5 · Day 31")</f>
      </c>
    </row>
    <row r="33">
      <c r="A33" s="3">
        <v>32</v>
      </c>
      <c r="B33" s="2">
        <f>START!$B$4+A33-1</f>
      </c>
      <c r="C33" s="3">
        <f>TEXT(B33,"ddd")</f>
      </c>
      <c r="D33" s="3">
        <v>5</v>
      </c>
      <c r="E33" s="3" t="inlineStr">
        <is>
          <t xml:space="preserve">Foundations</t>
        </is>
      </c>
      <c r="F33" s="3" t="inlineStr">
        <is>
          <t xml:space="preserve">Binary search on the answer</t>
        </is>
      </c>
      <c r="G33" s="3" t="inlineStr">
        <is>
          <t xml:space="preserve">Koko Eating Bananas, Capacity To Ship Packages Within D Days</t>
        </is>
      </c>
      <c r="H33" s="3" t="inlineStr">
        <is>
          <t xml:space="preserve">async pitfalls: async void, .Result deadlock, ConfigureAwait, ValueTask, CancellationToken</t>
        </is>
      </c>
      <c r="I33" s="3" t="inlineStr">
        <is>
          <t xml:space="preserve">Why does calling .Result deadlock in an app with a synchronization context?</t>
        </is>
      </c>
      <c r="J33" s="3" t="inlineStr">
        <is>
          <t xml:space="preserve">Not started</t>
        </is>
      </c>
      <c r="M33" s="4">
        <f>HYPERLINK("WEEKS/WEEK_05.md","Week 5 · Day 32")</f>
      </c>
    </row>
    <row r="34">
      <c r="A34" s="3">
        <v>33</v>
      </c>
      <c r="B34" s="2">
        <f>START!$B$4+A34-1</f>
      </c>
      <c r="C34" s="3">
        <f>TEXT(B34,"ddd")</f>
      </c>
      <c r="D34" s="3">
        <v>5</v>
      </c>
      <c r="E34" s="3" t="inlineStr">
        <is>
          <t xml:space="preserve">Foundations</t>
        </is>
      </c>
      <c r="F34" s="3" t="inlineStr">
        <is>
          <t xml:space="preserve">Repair and retrieval</t>
        </is>
      </c>
      <c r="G34" s="3" t="inlineStr">
        <is>
          <t xml:space="preserve">re-solves + Sqrt(x)</t>
        </is>
      </c>
      <c r="H34" s="3" t="inlineStr">
        <is>
          <t xml:space="preserve">re-explain the week</t>
        </is>
      </c>
      <c r="J34" s="3" t="inlineStr">
        <is>
          <t xml:space="preserve">Not started</t>
        </is>
      </c>
      <c r="M34" s="4">
        <f>HYPERLINK("WEEKS/WEEK_05.md","Week 5 · Day 33")</f>
      </c>
    </row>
    <row r="35">
      <c r="A35" s="3">
        <v>34</v>
      </c>
      <c r="B35" s="2">
        <f>START!$B$4+A35-1</f>
      </c>
      <c r="C35" s="3">
        <f>TEXT(B35,"ddd")</f>
      </c>
      <c r="D35" s="3">
        <v>5</v>
      </c>
      <c r="E35" s="3" t="inlineStr">
        <is>
          <t xml:space="preserve">Foundations</t>
        </is>
      </c>
      <c r="F35" s="3" t="inlineStr">
        <is>
          <t xml:space="preserve">Deep work: DSA + design + lab/project</t>
        </is>
      </c>
      <c r="G35" s="3" t="inlineStr">
        <is>
          <t xml:space="preserve">Implement merge sort (stable, O(n log n), O(n) extra), Implement quicksort partition (Lomuto and Hoare) and quickselect, Sort an Array, Sort Colors</t>
        </is>
      </c>
      <c r="H35" s="3" t="inlineStr">
        <is>
          <t xml:space="preserve">URL shortener — full 30-minute design: requirements, estimate, API, schema and indexes, cache, one failure (cache down).</t>
        </is>
      </c>
      <c r="J35" s="3" t="inlineStr">
        <is>
          <t xml:space="preserve">Not started</t>
        </is>
      </c>
      <c r="M35" s="4">
        <f>HYPERLINK("WEEKS/WEEK_05.md","Week 5 · Day 34")</f>
      </c>
    </row>
    <row r="36">
      <c r="A36" s="3">
        <v>35</v>
      </c>
      <c r="B36" s="2">
        <f>START!$B$4+A36-1</f>
      </c>
      <c r="C36" s="3">
        <f>TEXT(B36,"ddd")</f>
      </c>
      <c r="D36" s="3">
        <v>5</v>
      </c>
      <c r="E36" s="3" t="inlineStr">
        <is>
          <t xml:space="preserve">Foundations</t>
        </is>
      </c>
      <c r="F36" s="3" t="inlineStr">
        <is>
          <t xml:space="preserve">Weekly test, review, project, stories</t>
        </is>
      </c>
      <c r="H36" s="3" t="inlineStr">
        <is>
          <t xml:space="preserve">Read Stephen Toub's 'How Async/Await Really Works in C#' (devblogs.microsoft.com) for 60 minutes; write a six-question s</t>
        </is>
      </c>
      <c r="J36" s="3" t="inlineStr">
        <is>
          <t xml:space="preserve">Not started</t>
        </is>
      </c>
      <c r="M36" s="4">
        <f>HYPERLINK("WEEKS/WEEK_05.md","Week 5 · Day 35")</f>
      </c>
    </row>
    <row r="37">
      <c r="A37" s="3">
        <v>36</v>
      </c>
      <c r="B37" s="2">
        <f>START!$B$4+A37-1</f>
      </c>
      <c r="C37" s="3">
        <f>TEXT(B37,"ddd")</f>
      </c>
      <c r="D37" s="3">
        <v>6</v>
      </c>
      <c r="E37" s="3" t="inlineStr">
        <is>
          <t xml:space="preserve">Foundations</t>
        </is>
      </c>
      <c r="F37" s="3" t="inlineStr">
        <is>
          <t xml:space="preserve">Linked-list reference mutation</t>
        </is>
      </c>
      <c r="G37" s="3" t="inlineStr">
        <is>
          <t xml:space="preserve">Reverse Linked List, Middle of the Linked List</t>
        </is>
      </c>
      <c r="H37" s="3" t="inlineStr">
        <is>
          <t xml:space="preserve">OS vocabulary; process vs thread vs Task; the thread pool and starvation</t>
        </is>
      </c>
      <c r="I37" s="3" t="inlineStr">
        <is>
          <t xml:space="preserve">What is thread-pool starvation and how would you spot it?</t>
        </is>
      </c>
      <c r="J37" s="3" t="inlineStr">
        <is>
          <t xml:space="preserve">Not started</t>
        </is>
      </c>
      <c r="M37" s="4">
        <f>HYPERLINK("WEEKS/WEEK_06.md","Week 6 · Day 36")</f>
      </c>
    </row>
    <row r="38">
      <c r="A38" s="3">
        <v>37</v>
      </c>
      <c r="B38" s="2">
        <f>START!$B$4+A38-1</f>
      </c>
      <c r="C38" s="3">
        <f>TEXT(B38,"ddd")</f>
      </c>
      <c r="D38" s="3">
        <v>6</v>
      </c>
      <c r="E38" s="3" t="inlineStr">
        <is>
          <t xml:space="preserve">Foundations</t>
        </is>
      </c>
      <c r="F38" s="3" t="inlineStr">
        <is>
          <t xml:space="preserve">Dummy node and merging</t>
        </is>
      </c>
      <c r="G38" s="3" t="inlineStr">
        <is>
          <t xml:space="preserve">Merge Two Sorted Lists, Remove Nth Node From End of List</t>
        </is>
      </c>
      <c r="H38" s="3" t="inlineStr">
        <is>
          <t xml:space="preserve">Race conditions, lock, Interlocked, volatile</t>
        </is>
      </c>
      <c r="I38" s="3" t="inlineStr">
        <is>
          <t xml:space="preserve">What is a race condition at the memory level?</t>
        </is>
      </c>
      <c r="J38" s="3" t="inlineStr">
        <is>
          <t xml:space="preserve">Not started</t>
        </is>
      </c>
      <c r="M38" s="4">
        <f>HYPERLINK("WEEKS/WEEK_06.md","Week 6 · Day 37")</f>
      </c>
    </row>
    <row r="39">
      <c r="A39" s="3">
        <v>38</v>
      </c>
      <c r="B39" s="2">
        <f>START!$B$4+A39-1</f>
      </c>
      <c r="C39" s="3">
        <f>TEXT(B39,"ddd")</f>
      </c>
      <c r="D39" s="3">
        <v>6</v>
      </c>
      <c r="E39" s="3" t="inlineStr">
        <is>
          <t xml:space="preserve">Foundations</t>
        </is>
      </c>
      <c r="F39" s="3" t="inlineStr">
        <is>
          <t xml:space="preserve">Cycles and palindromes</t>
        </is>
      </c>
      <c r="G39" s="3" t="inlineStr">
        <is>
          <t xml:space="preserve">Linked List Cycle, Palindrome Linked List</t>
        </is>
      </c>
      <c r="H39" s="3" t="inlineStr">
        <is>
          <t xml:space="preserve">Deadlock, why not await inside lock, SemaphoreSlim vs Mutex vs ReaderWriterLockSlim</t>
        </is>
      </c>
      <c r="I39" s="3" t="inlineStr">
        <is>
          <t xml:space="preserve">What causes a deadlock and how do you prevent one?</t>
        </is>
      </c>
      <c r="J39" s="3" t="inlineStr">
        <is>
          <t xml:space="preserve">Not started</t>
        </is>
      </c>
      <c r="M39" s="4">
        <f>HYPERLINK("WEEKS/WEEK_06.md","Week 6 · Day 38")</f>
      </c>
    </row>
    <row r="40">
      <c r="A40" s="3">
        <v>39</v>
      </c>
      <c r="B40" s="2">
        <f>START!$B$4+A40-1</f>
      </c>
      <c r="C40" s="3">
        <f>TEXT(B40,"ddd")</f>
      </c>
      <c r="D40" s="3">
        <v>6</v>
      </c>
      <c r="E40" s="3" t="inlineStr">
        <is>
          <t xml:space="preserve">Foundations</t>
        </is>
      </c>
      <c r="F40" s="3" t="inlineStr">
        <is>
          <t xml:space="preserve">Stack and queue contracts</t>
        </is>
      </c>
      <c r="G40" s="3" t="inlineStr">
        <is>
          <t xml:space="preserve">Valid Parentheses, Implement Queue using Stacks</t>
        </is>
      </c>
      <c r="H40" s="3" t="inlineStr">
        <is>
          <t xml:space="preserve">Channel&lt;T&gt;, Parallel.For/PLINQ; your email pipeline as a concurrency story</t>
        </is>
      </c>
      <c r="I40" s="3" t="inlineStr">
        <is>
          <t xml:space="preserve">When does Parallel.For hurt rather than help?</t>
        </is>
      </c>
      <c r="J40" s="3" t="inlineStr">
        <is>
          <t xml:space="preserve">Not started</t>
        </is>
      </c>
      <c r="M40" s="4">
        <f>HYPERLINK("WEEKS/WEEK_06.md","Week 6 · Day 39")</f>
      </c>
    </row>
    <row r="41">
      <c r="A41" s="3">
        <v>40</v>
      </c>
      <c r="B41" s="2">
        <f>START!$B$4+A41-1</f>
      </c>
      <c r="C41" s="3">
        <f>TEXT(B41,"ddd")</f>
      </c>
      <c r="D41" s="3">
        <v>6</v>
      </c>
      <c r="E41" s="3" t="inlineStr">
        <is>
          <t xml:space="preserve">Foundations</t>
        </is>
      </c>
      <c r="F41" s="3" t="inlineStr">
        <is>
          <t xml:space="preserve">Repair and retrieval</t>
        </is>
      </c>
      <c r="G41" s="3" t="inlineStr">
        <is>
          <t xml:space="preserve">re-solves + Intersection of Two Linked Lists</t>
        </is>
      </c>
      <c r="H41" s="3" t="inlineStr">
        <is>
          <t xml:space="preserve">re-explain the week</t>
        </is>
      </c>
      <c r="J41" s="3" t="inlineStr">
        <is>
          <t xml:space="preserve">Not started</t>
        </is>
      </c>
      <c r="M41" s="4">
        <f>HYPERLINK("WEEKS/WEEK_06.md","Week 6 · Day 40")</f>
      </c>
    </row>
    <row r="42">
      <c r="A42" s="3">
        <v>41</v>
      </c>
      <c r="B42" s="2">
        <f>START!$B$4+A42-1</f>
      </c>
      <c r="C42" s="3">
        <f>TEXT(B42,"ddd")</f>
      </c>
      <c r="D42" s="3">
        <v>6</v>
      </c>
      <c r="E42" s="3" t="inlineStr">
        <is>
          <t xml:space="preserve">Foundations</t>
        </is>
      </c>
      <c r="F42" s="3" t="inlineStr">
        <is>
          <t xml:space="preserve">Deep work: DSA + design + lab/project</t>
        </is>
      </c>
      <c r="G42" s="3" t="inlineStr">
        <is>
          <t xml:space="preserve">Min Stack, Evaluate Reverse Polish Notation, Reorder List, Add Two Numbers</t>
        </is>
      </c>
      <c r="H42" s="3" t="inlineStr">
        <is>
          <t xml:space="preserve">LLD: logging framework — levels, sinks (console, file, in-memory), formatting, async buffering. Requirements → classes →</t>
        </is>
      </c>
      <c r="J42" s="3" t="inlineStr">
        <is>
          <t xml:space="preserve">Not started</t>
        </is>
      </c>
      <c r="M42" s="4">
        <f>HYPERLINK("WEEKS/WEEK_06.md","Week 6 · Day 41")</f>
      </c>
    </row>
    <row r="43">
      <c r="A43" s="3">
        <v>42</v>
      </c>
      <c r="B43" s="2">
        <f>START!$B$4+A43-1</f>
      </c>
      <c r="C43" s="3">
        <f>TEXT(B43,"ddd")</f>
      </c>
      <c r="D43" s="3">
        <v>6</v>
      </c>
      <c r="E43" s="3" t="inlineStr">
        <is>
          <t xml:space="preserve">Foundations</t>
        </is>
      </c>
      <c r="F43" s="3" t="inlineStr">
        <is>
          <t xml:space="preserve">Weekly test, review, project, stories</t>
        </is>
      </c>
      <c r="H43" s="3" t="inlineStr">
        <is>
          <t xml:space="preserve">Implement the logger from Saturday's design: console + in-memory sinks, levels, and tests. Add a new sink without changi</t>
        </is>
      </c>
      <c r="J43" s="3" t="inlineStr">
        <is>
          <t xml:space="preserve">Not started</t>
        </is>
      </c>
      <c r="M43" s="4">
        <f>HYPERLINK("WEEKS/WEEK_06.md","Week 6 · Day 42")</f>
      </c>
    </row>
    <row r="44">
      <c r="A44" s="3">
        <v>43</v>
      </c>
      <c r="B44" s="2">
        <f>START!$B$4+A44-1</f>
      </c>
      <c r="C44" s="3">
        <f>TEXT(B44,"ddd")</f>
      </c>
      <c r="D44" s="3">
        <v>7</v>
      </c>
      <c r="E44" s="3" t="inlineStr">
        <is>
          <t xml:space="preserve">Foundations</t>
        </is>
      </c>
      <c r="F44" s="3" t="inlineStr">
        <is>
          <t xml:space="preserve">Recursion mechanics</t>
        </is>
      </c>
      <c r="G44" s="3" t="inlineStr">
        <is>
          <t xml:space="preserve">Recursive sum, factorial, power, reverse a string — draw the call stack, Fibonacci three ways: naive recursion, memo, iterative — compare cost, Fibonacci Number</t>
        </is>
      </c>
      <c r="H44" s="3" t="inlineStr">
        <is>
          <t xml:space="preserve">.NET Framework vs .NET Core vs modern .NET; CLR, SDK, BCL; JIT, tiered compilation, ReadyToRun, AOT</t>
        </is>
      </c>
      <c r="I44" s="3" t="inlineStr">
        <is>
          <t xml:space="preserve">.NET Framework vs modern .NET in sixty seconds.</t>
        </is>
      </c>
      <c r="J44" s="3" t="inlineStr">
        <is>
          <t xml:space="preserve">Not started</t>
        </is>
      </c>
      <c r="M44" s="4">
        <f>HYPERLINK("WEEKS/WEEK_07.md","Week 7 · Day 43")</f>
      </c>
    </row>
    <row r="45">
      <c r="A45" s="3">
        <v>44</v>
      </c>
      <c r="B45" s="2">
        <f>START!$B$4+A45-1</f>
      </c>
      <c r="C45" s="3">
        <f>TEXT(B45,"ddd")</f>
      </c>
      <c r="D45" s="3">
        <v>7</v>
      </c>
      <c r="E45" s="3" t="inlineStr">
        <is>
          <t xml:space="preserve">Foundations</t>
        </is>
      </c>
      <c r="F45" s="3" t="inlineStr">
        <is>
          <t xml:space="preserve">Choose, explore, unchoose</t>
        </is>
      </c>
      <c r="G45" s="3" t="inlineStr">
        <is>
          <t xml:space="preserve">Subsets, Pow(x, n)</t>
        </is>
      </c>
      <c r="H45" s="3" t="inlineStr">
        <is>
          <t xml:space="preserve">GC gen 0 vs gen 2, the LOH; trace a request from Kestrel to your endpoint and back</t>
        </is>
      </c>
      <c r="I45" s="3" t="inlineStr">
        <is>
          <t xml:space="preserve">Trace a request from Kestrel to your controller and back.</t>
        </is>
      </c>
      <c r="J45" s="3" t="inlineStr">
        <is>
          <t xml:space="preserve">Not started</t>
        </is>
      </c>
      <c r="M45" s="4">
        <f>HYPERLINK("WEEKS/WEEK_07.md","Week 7 · Day 44")</f>
      </c>
    </row>
    <row r="46">
      <c r="A46" s="3">
        <v>45</v>
      </c>
      <c r="B46" s="2">
        <f>START!$B$4+A46-1</f>
      </c>
      <c r="C46" s="3">
        <f>TEXT(B46,"ddd")</f>
      </c>
      <c r="D46" s="3">
        <v>7</v>
      </c>
      <c r="E46" s="3" t="inlineStr">
        <is>
          <t xml:space="preserve">Foundations</t>
        </is>
      </c>
      <c r="F46" s="3" t="inlineStr">
        <is>
          <t xml:space="preserve">Permutations</t>
        </is>
      </c>
      <c r="G46" s="3" t="inlineStr">
        <is>
          <t xml:space="preserve">Permutations, Letter Combinations of a Phone Number</t>
        </is>
      </c>
      <c r="H46" s="3" t="inlineStr">
        <is>
          <t xml:space="preserve">Middleware order (with the CORS correction) and DI lifetimes / captive dependencies</t>
        </is>
      </c>
      <c r="I46" s="3" t="inlineStr">
        <is>
          <t xml:space="preserve">Explain DI lifetimes and the captive dependency problem.</t>
        </is>
      </c>
      <c r="J46" s="3" t="inlineStr">
        <is>
          <t xml:space="preserve">Not started</t>
        </is>
      </c>
      <c r="M46" s="4">
        <f>HYPERLINK("WEEKS/WEEK_07.md","Week 7 · Day 45")</f>
      </c>
    </row>
    <row r="47">
      <c r="A47" s="3">
        <v>46</v>
      </c>
      <c r="B47" s="2">
        <f>START!$B$4+A47-1</f>
      </c>
      <c r="C47" s="3">
        <f>TEXT(B47,"ddd")</f>
      </c>
      <c r="D47" s="3">
        <v>7</v>
      </c>
      <c r="E47" s="3" t="inlineStr">
        <is>
          <t xml:space="preserve">Foundations</t>
        </is>
      </c>
      <c r="F47" s="3" t="inlineStr">
        <is>
          <t xml:space="preserve">Pruning and repeated candidates</t>
        </is>
      </c>
      <c r="G47" s="3" t="inlineStr">
        <is>
          <t xml:space="preserve">Combination Sum, Generate Parentheses</t>
        </is>
      </c>
      <c r="H47" s="3" t="inlineStr">
        <is>
          <t xml:space="preserve">Configuration precedence, IOptions, validation and ProblemDetails</t>
        </is>
      </c>
      <c r="I47" s="3" t="inlineStr">
        <is>
          <t xml:space="preserve">How does configuration precedence work?</t>
        </is>
      </c>
      <c r="J47" s="3" t="inlineStr">
        <is>
          <t xml:space="preserve">Not started</t>
        </is>
      </c>
      <c r="M47" s="4">
        <f>HYPERLINK("WEEKS/WEEK_07.md","Week 7 · Day 46")</f>
      </c>
    </row>
    <row r="48">
      <c r="A48" s="3">
        <v>47</v>
      </c>
      <c r="B48" s="2">
        <f>START!$B$4+A48-1</f>
      </c>
      <c r="C48" s="3">
        <f>TEXT(B48,"ddd")</f>
      </c>
      <c r="D48" s="3">
        <v>7</v>
      </c>
      <c r="E48" s="3" t="inlineStr">
        <is>
          <t xml:space="preserve">Foundations</t>
        </is>
      </c>
      <c r="F48" s="3" t="inlineStr">
        <is>
          <t xml:space="preserve">Repair and retrieval</t>
        </is>
      </c>
      <c r="G48" s="3" t="inlineStr">
        <is>
          <t xml:space="preserve">re-solves + Combination Sum III</t>
        </is>
      </c>
      <c r="H48" s="3" t="inlineStr">
        <is>
          <t xml:space="preserve">re-explain the week</t>
        </is>
      </c>
      <c r="J48" s="3" t="inlineStr">
        <is>
          <t xml:space="preserve">Not started</t>
        </is>
      </c>
      <c r="M48" s="4">
        <f>HYPERLINK("WEEKS/WEEK_07.md","Week 7 · Day 47")</f>
      </c>
    </row>
    <row r="49">
      <c r="A49" s="3">
        <v>48</v>
      </c>
      <c r="B49" s="2">
        <f>START!$B$4+A49-1</f>
      </c>
      <c r="C49" s="3">
        <f>TEXT(B49,"ddd")</f>
      </c>
      <c r="D49" s="3">
        <v>7</v>
      </c>
      <c r="E49" s="3" t="inlineStr">
        <is>
          <t xml:space="preserve">Foundations</t>
        </is>
      </c>
      <c r="F49" s="3" t="inlineStr">
        <is>
          <t xml:space="preserve">Deep work: DSA + design + lab/project</t>
        </is>
      </c>
      <c r="G49" s="3" t="inlineStr">
        <is>
          <t xml:space="preserve">Subsets II, Permutations II, Word Search, Palindrome Partitioning</t>
        </is>
      </c>
      <c r="H49" s="3" t="inlineStr">
        <is>
          <t xml:space="preserve">LLD: parking lot — requirements, vehicle and spot types, allocation strategy, ticket and payment, state changes. Sequent</t>
        </is>
      </c>
      <c r="J49" s="3" t="inlineStr">
        <is>
          <t xml:space="preserve">Not started</t>
        </is>
      </c>
      <c r="M49" s="4">
        <f>HYPERLINK("WEEKS/WEEK_07.md","Week 7 · Day 48")</f>
      </c>
    </row>
    <row r="50">
      <c r="A50" s="3">
        <v>49</v>
      </c>
      <c r="B50" s="2">
        <f>START!$B$4+A50-1</f>
      </c>
      <c r="C50" s="3">
        <f>TEXT(B50,"ddd")</f>
      </c>
      <c r="D50" s="3">
        <v>7</v>
      </c>
      <c r="E50" s="3" t="inlineStr">
        <is>
          <t xml:space="preserve">Foundations</t>
        </is>
      </c>
      <c r="F50" s="3" t="inlineStr">
        <is>
          <t xml:space="preserve">Weekly test, review, project, stories</t>
        </is>
      </c>
      <c r="H50" s="3" t="inlineStr">
        <is>
          <t xml:space="preserve">Reproduce a captive dependency in the API (scoped DbContext-like service inside a singleton), see the bug, fix it with I</t>
        </is>
      </c>
      <c r="J50" s="3" t="inlineStr">
        <is>
          <t xml:space="preserve">Not started</t>
        </is>
      </c>
      <c r="M50" s="4">
        <f>HYPERLINK("WEEKS/WEEK_07.md","Week 7 · Day 49")</f>
      </c>
    </row>
    <row r="51">
      <c r="A51" s="3">
        <v>50</v>
      </c>
      <c r="B51" s="2">
        <f>START!$B$4+A51-1</f>
      </c>
      <c r="C51" s="3">
        <f>TEXT(B51,"ddd")</f>
      </c>
      <c r="D51" s="3">
        <v>8</v>
      </c>
      <c r="E51" s="3" t="inlineStr">
        <is>
          <t xml:space="preserve">Foundations</t>
        </is>
      </c>
      <c r="F51" s="3" t="inlineStr">
        <is>
          <t xml:space="preserve">Tree recursion</t>
        </is>
      </c>
      <c r="G51" s="3" t="inlineStr">
        <is>
          <t xml:space="preserve">Maximum Depth of Binary Tree, Invert Binary Tree, Same Tree</t>
        </is>
      </c>
      <c r="H51" s="3" t="inlineStr">
        <is>
          <t xml:space="preserve">HTTP and REST: methods, idempotency, status codes, versioning</t>
        </is>
      </c>
      <c r="I51" s="3" t="inlineStr">
        <is>
          <t xml:space="preserve">Which HTTP methods are idempotent, and why does it matter?</t>
        </is>
      </c>
      <c r="J51" s="3" t="inlineStr">
        <is>
          <t xml:space="preserve">Not started</t>
        </is>
      </c>
      <c r="M51" s="4">
        <f>HYPERLINK("WEEKS/WEEK_08.md","Week 8 · Day 50")</f>
      </c>
    </row>
    <row r="52">
      <c r="A52" s="3">
        <v>51</v>
      </c>
      <c r="B52" s="2">
        <f>START!$B$4+A52-1</f>
      </c>
      <c r="C52" s="3">
        <f>TEXT(B52,"ddd")</f>
      </c>
      <c r="D52" s="3">
        <v>8</v>
      </c>
      <c r="E52" s="3" t="inlineStr">
        <is>
          <t xml:space="preserve">Foundations</t>
        </is>
      </c>
      <c r="F52" s="3" t="inlineStr">
        <is>
          <t xml:space="preserve">Level-order BFS</t>
        </is>
      </c>
      <c r="G52" s="3" t="inlineStr">
        <is>
          <t xml:space="preserve">Binary Tree Level Order Traversal, Binary Tree Right Side View</t>
        </is>
      </c>
      <c r="H52" s="3" t="inlineStr">
        <is>
          <t xml:space="preserve">JWT: structure, signing vs encryption, validation, revocation; authentication vs authorization</t>
        </is>
      </c>
      <c r="I52" s="3" t="inlineStr">
        <is>
          <t xml:space="preserve">What is inside a JWT, and what is the difference between signing and encryption?</t>
        </is>
      </c>
      <c r="J52" s="3" t="inlineStr">
        <is>
          <t xml:space="preserve">Not started</t>
        </is>
      </c>
      <c r="M52" s="4">
        <f>HYPERLINK("WEEKS/WEEK_08.md","Week 8 · Day 51")</f>
      </c>
    </row>
    <row r="53">
      <c r="A53" s="3">
        <v>52</v>
      </c>
      <c r="B53" s="2">
        <f>START!$B$4+A53-1</f>
      </c>
      <c r="C53" s="3">
        <f>TEXT(B53,"ddd")</f>
      </c>
      <c r="D53" s="3">
        <v>8</v>
      </c>
      <c r="E53" s="3" t="inlineStr">
        <is>
          <t xml:space="preserve">Foundations</t>
        </is>
      </c>
      <c r="F53" s="3" t="inlineStr">
        <is>
          <t xml:space="preserve">BST global invariant</t>
        </is>
      </c>
      <c r="G53" s="3" t="inlineStr">
        <is>
          <t xml:space="preserve">Validate Binary Search Tree, Kth Smallest Element in a BST</t>
        </is>
      </c>
      <c r="H53" s="3" t="inlineStr">
        <is>
          <t xml:space="preserve">EF Core change tracker, AsNoTracking, projections, N+1</t>
        </is>
      </c>
      <c r="I53" s="3" t="inlineStr">
        <is>
          <t xml:space="preserve">What is the N+1 problem, how do you find it, and how do you fix it?</t>
        </is>
      </c>
      <c r="J53" s="3" t="inlineStr">
        <is>
          <t xml:space="preserve">Not started</t>
        </is>
      </c>
      <c r="M53" s="4">
        <f>HYPERLINK("WEEKS/WEEK_08.md","Week 8 · Day 52")</f>
      </c>
    </row>
    <row r="54">
      <c r="A54" s="3">
        <v>53</v>
      </c>
      <c r="B54" s="2">
        <f>START!$B$4+A54-1</f>
      </c>
      <c r="C54" s="3">
        <f>TEXT(B54,"ddd")</f>
      </c>
      <c r="D54" s="3">
        <v>8</v>
      </c>
      <c r="E54" s="3" t="inlineStr">
        <is>
          <t xml:space="preserve">Foundations</t>
        </is>
      </c>
      <c r="F54" s="3" t="inlineStr">
        <is>
          <t xml:space="preserve">Subtree combination and BST LCA</t>
        </is>
      </c>
      <c r="G54" s="3" t="inlineStr">
        <is>
          <t xml:space="preserve">Diameter of Binary Tree, Balanced Binary Tree, Lowest Common Ancestor of a Binary Search Tree</t>
        </is>
      </c>
      <c r="H54" s="3" t="inlineStr">
        <is>
          <t xml:space="preserve">Cache-aside vs write-through vs write-behind, stampede, BackgroundService</t>
        </is>
      </c>
      <c r="I54" s="3" t="inlineStr">
        <is>
          <t xml:space="preserve">Compare cache-aside, write-through and write-behind.</t>
        </is>
      </c>
      <c r="J54" s="3" t="inlineStr">
        <is>
          <t xml:space="preserve">Not started</t>
        </is>
      </c>
      <c r="M54" s="4">
        <f>HYPERLINK("WEEKS/WEEK_08.md","Week 8 · Day 53")</f>
      </c>
    </row>
    <row r="55">
      <c r="A55" s="3">
        <v>54</v>
      </c>
      <c r="B55" s="2">
        <f>START!$B$4+A55-1</f>
      </c>
      <c r="C55" s="3">
        <f>TEXT(B55,"ddd")</f>
      </c>
      <c r="D55" s="3">
        <v>8</v>
      </c>
      <c r="E55" s="3" t="inlineStr">
        <is>
          <t xml:space="preserve">Foundations</t>
        </is>
      </c>
      <c r="F55" s="3" t="inlineStr">
        <is>
          <t xml:space="preserve">Repair and retrieval</t>
        </is>
      </c>
      <c r="G55" s="3" t="inlineStr">
        <is>
          <t xml:space="preserve">re-solves + Subtree of Another Tree</t>
        </is>
      </c>
      <c r="H55" s="3" t="inlineStr">
        <is>
          <t xml:space="preserve">re-explain the week</t>
        </is>
      </c>
      <c r="J55" s="3" t="inlineStr">
        <is>
          <t xml:space="preserve">Not started</t>
        </is>
      </c>
      <c r="M55" s="4">
        <f>HYPERLINK("WEEKS/WEEK_08.md","Week 8 · Day 54")</f>
      </c>
    </row>
    <row r="56">
      <c r="A56" s="3">
        <v>55</v>
      </c>
      <c r="B56" s="2">
        <f>START!$B$4+A56-1</f>
      </c>
      <c r="C56" s="3">
        <f>TEXT(B56,"ddd")</f>
      </c>
      <c r="D56" s="3">
        <v>8</v>
      </c>
      <c r="E56" s="3" t="inlineStr">
        <is>
          <t xml:space="preserve">Foundations</t>
        </is>
      </c>
      <c r="F56" s="3" t="inlineStr">
        <is>
          <t xml:space="preserve">Deep work: DSA + design + lab/project</t>
        </is>
      </c>
      <c r="G56" s="3" t="inlineStr">
        <is>
          <t xml:space="preserve">Lowest Common Ancestor of a Binary Tree, Construct Binary Tree from Preorder and Inorder Traversal, Path Sum, Count Good Nodes in Binary Tree</t>
        </is>
      </c>
      <c r="H56" s="3" t="inlineStr">
        <is>
          <t xml:space="preserve">FIRST DESIGN MOCK (45 minutes, timer on, talk aloud, ideally with a partner): URL shortener from a blank page. Score you</t>
        </is>
      </c>
      <c r="J56" s="3" t="inlineStr">
        <is>
          <t xml:space="preserve">Not started</t>
        </is>
      </c>
      <c r="M56" s="4">
        <f>HYPERLINK("WEEKS/WEEK_08.md","Week 8 · Day 55")</f>
      </c>
    </row>
    <row r="57">
      <c r="A57" s="3">
        <v>56</v>
      </c>
      <c r="B57" s="2">
        <f>START!$B$4+A57-1</f>
      </c>
      <c r="C57" s="3">
        <f>TEXT(B57,"ddd")</f>
      </c>
      <c r="D57" s="3">
        <v>8</v>
      </c>
      <c r="E57" s="3" t="inlineStr">
        <is>
          <t xml:space="preserve">Foundations</t>
        </is>
      </c>
      <c r="F57" s="3" t="inlineStr">
        <is>
          <t xml:space="preserve">Month 2 checkpoint</t>
        </is>
      </c>
      <c r="H57" s="3" t="inlineStr">
        <is>
          <t xml:space="preserve">Month 2 test (see checkpoint). Then repair the weakest item.</t>
        </is>
      </c>
      <c r="J57" s="3" t="inlineStr">
        <is>
          <t xml:space="preserve">Not started</t>
        </is>
      </c>
      <c r="M57" s="4">
        <f>HYPERLINK("WEEKS/WEEK_08.md","Week 8 · Day 56")</f>
      </c>
    </row>
    <row r="58">
      <c r="A58" s="3">
        <v>57</v>
      </c>
      <c r="B58" s="2">
        <f>START!$B$4+A58-1</f>
      </c>
      <c r="C58" s="3">
        <f>TEXT(B58,"ddd")</f>
      </c>
      <c r="D58" s="3">
        <v>9</v>
      </c>
      <c r="E58" s="3" t="inlineStr">
        <is>
          <t xml:space="preserve">Core depth and the project starts</t>
        </is>
      </c>
      <c r="F58" s="3" t="inlineStr">
        <is>
          <t xml:space="preserve">Heap invariant and PriorityQueue</t>
        </is>
      </c>
      <c r="G58" s="3" t="inlineStr">
        <is>
          <t xml:space="preserve">Kth Largest Element in an Array, Last Stone Weight</t>
        </is>
      </c>
      <c r="H58" s="3" t="inlineStr">
        <is>
          <t xml:space="preserve">SQL basics and data modeling: keys, constraints, normalization, when to denormalise</t>
        </is>
      </c>
      <c r="I58" s="3" t="inlineStr">
        <is>
          <t xml:space="preserve">When would you denormalise on purpose?</t>
        </is>
      </c>
      <c r="J58" s="3" t="inlineStr">
        <is>
          <t xml:space="preserve">Not started</t>
        </is>
      </c>
      <c r="M58" s="4">
        <f>HYPERLINK("WEEKS/WEEK_09.md","Week 9 · Day 57")</f>
      </c>
    </row>
    <row r="59">
      <c r="A59" s="3">
        <v>58</v>
      </c>
      <c r="B59" s="2">
        <f>START!$B$4+A59-1</f>
      </c>
      <c r="C59" s="3">
        <f>TEXT(B59,"ddd")</f>
      </c>
      <c r="D59" s="3">
        <v>9</v>
      </c>
      <c r="E59" s="3" t="inlineStr">
        <is>
          <t xml:space="preserve">Core depth and the project starts</t>
        </is>
      </c>
      <c r="F59" s="3" t="inlineStr">
        <is>
          <t xml:space="preserve">Frequency plus top-K</t>
        </is>
      </c>
      <c r="G59" s="3" t="inlineStr">
        <is>
          <t xml:space="preserve">Top K Frequent Elements, K Closest Points to Origin</t>
        </is>
      </c>
      <c r="H59" s="3" t="inlineStr">
        <is>
          <t xml:space="preserve">How data is stored; indexes, write cost, covering indexes</t>
        </is>
      </c>
      <c r="I59" s="3" t="inlineStr">
        <is>
          <t xml:space="preserve">Why does an index make reads faster and writes slower?</t>
        </is>
      </c>
      <c r="J59" s="3" t="inlineStr">
        <is>
          <t xml:space="preserve">Not started</t>
        </is>
      </c>
      <c r="M59" s="4">
        <f>HYPERLINK("WEEKS/WEEK_09.md","Week 9 · Day 58")</f>
      </c>
    </row>
    <row r="60">
      <c r="A60" s="3">
        <v>59</v>
      </c>
      <c r="B60" s="2">
        <f>START!$B$4+A60-1</f>
      </c>
      <c r="C60" s="3">
        <f>TEXT(B60,"ddd")</f>
      </c>
      <c r="D60" s="3">
        <v>9</v>
      </c>
      <c r="E60" s="3" t="inlineStr">
        <is>
          <t xml:space="preserve">Core depth and the project starts</t>
        </is>
      </c>
      <c r="F60" s="3" t="inlineStr">
        <is>
          <t xml:space="preserve">K-way merging</t>
        </is>
      </c>
      <c r="G60" s="3" t="inlineStr">
        <is>
          <t xml:space="preserve">Merge k Sorted Lists, Task Scheduler</t>
        </is>
      </c>
      <c r="H60" s="3" t="inlineStr">
        <is>
          <t xml:space="preserve">Execution plans, seek vs scan vs lookup, SARGability, join algorithms</t>
        </is>
      </c>
      <c r="I60" s="3" t="inlineStr">
        <is>
          <t xml:space="preserve">Why can WHERE YEAR(created) = 2026 not use an index?</t>
        </is>
      </c>
      <c r="J60" s="3" t="inlineStr">
        <is>
          <t xml:space="preserve">Not started</t>
        </is>
      </c>
      <c r="M60" s="4">
        <f>HYPERLINK("WEEKS/WEEK_09.md","Week 9 · Day 59")</f>
      </c>
    </row>
    <row r="61">
      <c r="A61" s="3">
        <v>60</v>
      </c>
      <c r="B61" s="2">
        <f>START!$B$4+A61-1</f>
      </c>
      <c r="C61" s="3">
        <f>TEXT(B61,"ddd")</f>
      </c>
      <c r="D61" s="3">
        <v>9</v>
      </c>
      <c r="E61" s="3" t="inlineStr">
        <is>
          <t xml:space="preserve">Core depth and the project starts</t>
        </is>
      </c>
      <c r="F61" s="3" t="inlineStr">
        <is>
          <t xml:space="preserve">Two heaps and selection without full sort</t>
        </is>
      </c>
      <c r="G61" s="3" t="inlineStr">
        <is>
          <t xml:space="preserve">Find Median from Data Stream, Implement quicksort partition (Lomuto and Hoare) and quickselect</t>
        </is>
      </c>
      <c r="H61" s="3" t="inlineStr">
        <is>
          <t xml:space="preserve">Logical execution order, window functions, CTEs, connection pooling</t>
        </is>
      </c>
      <c r="I61" s="3" t="inlineStr">
        <is>
          <t xml:space="preserve">What is the logical execution order of a SQL statement?</t>
        </is>
      </c>
      <c r="J61" s="3" t="inlineStr">
        <is>
          <t xml:space="preserve">Not started</t>
        </is>
      </c>
      <c r="M61" s="4">
        <f>HYPERLINK("WEEKS/WEEK_09.md","Week 9 · Day 60")</f>
      </c>
    </row>
    <row r="62">
      <c r="A62" s="3">
        <v>61</v>
      </c>
      <c r="B62" s="2">
        <f>START!$B$4+A62-1</f>
      </c>
      <c r="C62" s="3">
        <f>TEXT(B62,"ddd")</f>
      </c>
      <c r="D62" s="3">
        <v>9</v>
      </c>
      <c r="E62" s="3" t="inlineStr">
        <is>
          <t xml:space="preserve">Core depth and the project starts</t>
        </is>
      </c>
      <c r="F62" s="3" t="inlineStr">
        <is>
          <t xml:space="preserve">Repair and retrieval</t>
        </is>
      </c>
      <c r="G62" s="3" t="inlineStr">
        <is>
          <t xml:space="preserve">re-solves + Kth Largest Element in a Stream</t>
        </is>
      </c>
      <c r="H62" s="3" t="inlineStr">
        <is>
          <t xml:space="preserve">re-explain the week</t>
        </is>
      </c>
      <c r="J62" s="3" t="inlineStr">
        <is>
          <t xml:space="preserve">Not started</t>
        </is>
      </c>
      <c r="M62" s="4">
        <f>HYPERLINK("WEEKS/WEEK_09.md","Week 9 · Day 61")</f>
      </c>
    </row>
    <row r="63">
      <c r="A63" s="3">
        <v>62</v>
      </c>
      <c r="B63" s="2">
        <f>START!$B$4+A63-1</f>
      </c>
      <c r="C63" s="3">
        <f>TEXT(B63,"ddd")</f>
      </c>
      <c r="D63" s="3">
        <v>9</v>
      </c>
      <c r="E63" s="3" t="inlineStr">
        <is>
          <t xml:space="preserve">Core depth and the project starts</t>
        </is>
      </c>
      <c r="F63" s="3" t="inlineStr">
        <is>
          <t xml:space="preserve">Deep work: DSA + design + lab/project</t>
        </is>
      </c>
      <c r="G63" s="3" t="inlineStr">
        <is>
          <t xml:space="preserve">Top K Frequent Words, Reorganize String, Sort Characters By Frequency, Implement a binary min-heap (push, pop, heapify) on an array</t>
        </is>
      </c>
      <c r="H63" s="3" t="inlineStr">
        <is>
          <t xml:space="preserve">LLD: LRU cache — Dictionary + doubly linked list, O(1) get and put; then thread safety (one lock vs ReaderWriterLockSlim</t>
        </is>
      </c>
      <c r="J63" s="3" t="inlineStr">
        <is>
          <t xml:space="preserve">Not started</t>
        </is>
      </c>
      <c r="M63" s="4">
        <f>HYPERLINK("WEEKS/WEEK_09.md","Week 9 · Day 62")</f>
      </c>
    </row>
    <row r="64">
      <c r="A64" s="3">
        <v>63</v>
      </c>
      <c r="B64" s="2">
        <f>START!$B$4+A64-1</f>
      </c>
      <c r="C64" s="3">
        <f>TEXT(B64,"ddd")</f>
      </c>
      <c r="D64" s="3">
        <v>9</v>
      </c>
      <c r="E64" s="3" t="inlineStr">
        <is>
          <t xml:space="preserve">Core depth and the project starts</t>
        </is>
      </c>
      <c r="F64" s="3" t="inlineStr">
        <is>
          <t xml:space="preserve">Weekly test, review, project, stories</t>
        </is>
      </c>
      <c r="H64" s="3" t="inlineStr">
        <is>
          <t xml:space="preserve">Finish all 20 practice queries; check your answers; put any you missed on the WEAK sheet. Implement LRU Cache (146) from</t>
        </is>
      </c>
      <c r="J64" s="3" t="inlineStr">
        <is>
          <t xml:space="preserve">Not started</t>
        </is>
      </c>
      <c r="M64" s="4">
        <f>HYPERLINK("WEEKS/WEEK_09.md","Week 9 · Day 63")</f>
      </c>
    </row>
    <row r="65">
      <c r="A65" s="3">
        <v>64</v>
      </c>
      <c r="B65" s="2">
        <f>START!$B$4+A65-1</f>
      </c>
      <c r="C65" s="3">
        <f>TEXT(B65,"ddd")</f>
      </c>
      <c r="D65" s="3">
        <v>10</v>
      </c>
      <c r="E65" s="3" t="inlineStr">
        <is>
          <t xml:space="preserve">Core depth and the project starts</t>
        </is>
      </c>
      <c r="F65" s="3" t="inlineStr">
        <is>
          <t xml:space="preserve">Graph representation and DFS</t>
        </is>
      </c>
      <c r="G65" s="3" t="inlineStr">
        <is>
          <t xml:space="preserve">Number of Islands, Flood Fill</t>
        </is>
      </c>
      <c r="H65" s="3" t="inlineStr">
        <is>
          <t xml:space="preserve">Transactions, ACID, anomalies, isolation levels</t>
        </is>
      </c>
      <c r="I65" s="3" t="inlineStr">
        <is>
          <t xml:space="preserve">State the four ACID properties and what each protects.</t>
        </is>
      </c>
      <c r="J65" s="3" t="inlineStr">
        <is>
          <t xml:space="preserve">Not started</t>
        </is>
      </c>
      <c r="M65" s="4">
        <f>HYPERLINK("WEEKS/WEEK_10.md","Week 10 · Day 64")</f>
      </c>
    </row>
    <row r="66">
      <c r="A66" s="3">
        <v>65</v>
      </c>
      <c r="B66" s="2">
        <f>START!$B$4+A66-1</f>
      </c>
      <c r="C66" s="3">
        <f>TEXT(B66,"ddd")</f>
      </c>
      <c r="D66" s="3">
        <v>10</v>
      </c>
      <c r="E66" s="3" t="inlineStr">
        <is>
          <t xml:space="preserve">Core depth and the project starts</t>
        </is>
      </c>
      <c r="F66" s="3" t="inlineStr">
        <is>
          <t xml:space="preserve">Graph identity and copying</t>
        </is>
      </c>
      <c r="G66" s="3" t="inlineStr">
        <is>
          <t xml:space="preserve">Clone Graph, Max Area of Island</t>
        </is>
      </c>
      <c r="H66" s="3" t="inlineStr">
        <is>
          <t xml:space="preserve">Write skew, snapshot isolation, MVCC vs locking</t>
        </is>
      </c>
      <c r="I66" s="3" t="inlineStr">
        <is>
          <t xml:space="preserve">What is write skew, and why does snapshot isolation permit it?</t>
        </is>
      </c>
      <c r="J66" s="3" t="inlineStr">
        <is>
          <t xml:space="preserve">Not started</t>
        </is>
      </c>
      <c r="M66" s="4">
        <f>HYPERLINK("WEEKS/WEEK_10.md","Week 10 · Day 65")</f>
      </c>
    </row>
    <row r="67">
      <c r="A67" s="3">
        <v>66</v>
      </c>
      <c r="B67" s="2">
        <f>START!$B$4+A67-1</f>
      </c>
      <c r="C67" s="3">
        <f>TEXT(B67,"ddd")</f>
      </c>
      <c r="D67" s="3">
        <v>10</v>
      </c>
      <c r="E67" s="3" t="inlineStr">
        <is>
          <t xml:space="preserve">Core depth and the project starts</t>
        </is>
      </c>
      <c r="F67" s="3" t="inlineStr">
        <is>
          <t xml:space="preserve">Multi-source BFS</t>
        </is>
      </c>
      <c r="G67" s="3" t="inlineStr">
        <is>
          <t xml:space="preserve">Rotting Oranges, 01 Matrix</t>
        </is>
      </c>
      <c r="H67" s="3" t="inlineStr">
        <is>
          <t xml:space="preserve">Locks, deadlocks, lock escalation, optimistic vs pessimistic concurrency</t>
        </is>
      </c>
      <c r="I67" s="3" t="inlineStr">
        <is>
          <t xml:space="preserve">Optimistic or pessimistic locking — when each?</t>
        </is>
      </c>
      <c r="J67" s="3" t="inlineStr">
        <is>
          <t xml:space="preserve">Not started</t>
        </is>
      </c>
      <c r="M67" s="4">
        <f>HYPERLINK("WEEKS/WEEK_10.md","Week 10 · Day 66")</f>
      </c>
    </row>
    <row r="68">
      <c r="A68" s="3">
        <v>67</v>
      </c>
      <c r="B68" s="2">
        <f>START!$B$4+A68-1</f>
      </c>
      <c r="C68" s="3">
        <f>TEXT(B68,"ddd")</f>
      </c>
      <c r="D68" s="3">
        <v>10</v>
      </c>
      <c r="E68" s="3" t="inlineStr">
        <is>
          <t xml:space="preserve">Core depth and the project starts</t>
        </is>
      </c>
      <c r="F68" s="3" t="inlineStr">
        <is>
          <t xml:space="preserve">Reachability with reversed reasoning</t>
        </is>
      </c>
      <c r="G68" s="3" t="inlineStr">
        <is>
          <t xml:space="preserve">Pacific Atlantic Water Flow, Surrounded Regions</t>
        </is>
      </c>
      <c r="H68" s="3" t="inlineStr">
        <is>
          <t xml:space="preserve">Safe migrations, CDC, backup and restore</t>
        </is>
      </c>
      <c r="I68" s="3" t="inlineStr">
        <is>
          <t xml:space="preserve">How do you change a schema without downtime?</t>
        </is>
      </c>
      <c r="J68" s="3" t="inlineStr">
        <is>
          <t xml:space="preserve">Not started</t>
        </is>
      </c>
      <c r="M68" s="4">
        <f>HYPERLINK("WEEKS/WEEK_10.md","Week 10 · Day 67")</f>
      </c>
    </row>
    <row r="69">
      <c r="A69" s="3">
        <v>68</v>
      </c>
      <c r="B69" s="2">
        <f>START!$B$4+A69-1</f>
      </c>
      <c r="C69" s="3">
        <f>TEXT(B69,"ddd")</f>
      </c>
      <c r="D69" s="3">
        <v>10</v>
      </c>
      <c r="E69" s="3" t="inlineStr">
        <is>
          <t xml:space="preserve">Core depth and the project starts</t>
        </is>
      </c>
      <c r="F69" s="3" t="inlineStr">
        <is>
          <t xml:space="preserve">Repair and retrieval</t>
        </is>
      </c>
      <c r="G69" s="3" t="inlineStr">
        <is>
          <t xml:space="preserve">re-solves + Find if Path Exists in Graph</t>
        </is>
      </c>
      <c r="H69" s="3" t="inlineStr">
        <is>
          <t xml:space="preserve">re-explain the week</t>
        </is>
      </c>
      <c r="J69" s="3" t="inlineStr">
        <is>
          <t xml:space="preserve">Not started</t>
        </is>
      </c>
      <c r="M69" s="4">
        <f>HYPERLINK("WEEKS/WEEK_10.md","Week 10 · Day 68")</f>
      </c>
    </row>
    <row r="70">
      <c r="A70" s="3">
        <v>69</v>
      </c>
      <c r="B70" s="2">
        <f>START!$B$4+A70-1</f>
      </c>
      <c r="C70" s="3">
        <f>TEXT(B70,"ddd")</f>
      </c>
      <c r="D70" s="3">
        <v>10</v>
      </c>
      <c r="E70" s="3" t="inlineStr">
        <is>
          <t xml:space="preserve">Core depth and the project starts</t>
        </is>
      </c>
      <c r="F70" s="3" t="inlineStr">
        <is>
          <t xml:space="preserve">Deep work: DSA + design + lab/project</t>
        </is>
      </c>
      <c r="G70" s="3" t="inlineStr">
        <is>
          <t xml:space="preserve">Word Ladder, Is Graph Bipartite?, Walls and Gates, Keys and Rooms</t>
        </is>
      </c>
      <c r="H70" s="3" t="inlineStr">
        <is>
          <t xml:space="preserve">Distributed rate limiter HLD: fixed window vs sliding window vs token bucket; atomic updates in Redis; per-tenant keys; </t>
        </is>
      </c>
      <c r="J70" s="3" t="inlineStr">
        <is>
          <t xml:space="preserve">Not started</t>
        </is>
      </c>
      <c r="M70" s="4">
        <f>HYPERLINK("WEEKS/WEEK_10.md","Week 10 · Day 69")</f>
      </c>
    </row>
    <row r="71">
      <c r="A71" s="3">
        <v>70</v>
      </c>
      <c r="B71" s="2">
        <f>START!$B$4+A71-1</f>
      </c>
      <c r="C71" s="3">
        <f>TEXT(B71,"ddd")</f>
      </c>
      <c r="D71" s="3">
        <v>10</v>
      </c>
      <c r="E71" s="3" t="inlineStr">
        <is>
          <t xml:space="preserve">Core depth and the project starts</t>
        </is>
      </c>
      <c r="F71" s="3" t="inlineStr">
        <is>
          <t xml:space="preserve">Weekly test, review, project, stories</t>
        </is>
      </c>
      <c r="H71" s="3" t="inlineStr">
        <is>
          <t xml:space="preserve">Do a SQL Server dirty-read demo (READ UNCOMMITTED / NOLOCK) if you have SQL Server; note PostgreSQL can never show one. </t>
        </is>
      </c>
      <c r="J71" s="3" t="inlineStr">
        <is>
          <t xml:space="preserve">Not started</t>
        </is>
      </c>
      <c r="M71" s="4">
        <f>HYPERLINK("WEEKS/WEEK_10.md","Week 10 · Day 70")</f>
      </c>
    </row>
    <row r="72">
      <c r="A72" s="3">
        <v>71</v>
      </c>
      <c r="B72" s="2">
        <f>START!$B$4+A72-1</f>
      </c>
      <c r="C72" s="3">
        <f>TEXT(B72,"ddd")</f>
      </c>
      <c r="D72" s="3">
        <v>11</v>
      </c>
      <c r="E72" s="3" t="inlineStr">
        <is>
          <t xml:space="preserve">Core depth and the project starts</t>
        </is>
      </c>
      <c r="F72" s="3" t="inlineStr">
        <is>
          <t xml:space="preserve">Directed cycles</t>
        </is>
      </c>
      <c r="G72" s="3" t="inlineStr">
        <is>
          <t xml:space="preserve">Course Schedule</t>
        </is>
      </c>
      <c r="H72" s="3" t="inlineStr">
        <is>
          <t xml:space="preserve">What happens when you type a URL; DNS resolution</t>
        </is>
      </c>
      <c r="I72" s="3" t="inlineStr">
        <is>
          <t xml:space="preserve">What happens when you type a URL and press enter? (5-minute version)</t>
        </is>
      </c>
      <c r="J72" s="3" t="inlineStr">
        <is>
          <t xml:space="preserve">Not started</t>
        </is>
      </c>
      <c r="M72" s="4">
        <f>HYPERLINK("WEEKS/WEEK_11.md","Week 11 · Day 71")</f>
      </c>
    </row>
    <row r="73">
      <c r="A73" s="3">
        <v>72</v>
      </c>
      <c r="B73" s="2">
        <f>START!$B$4+A73-1</f>
      </c>
      <c r="C73" s="3">
        <f>TEXT(B73,"ddd")</f>
      </c>
      <c r="D73" s="3">
        <v>11</v>
      </c>
      <c r="E73" s="3" t="inlineStr">
        <is>
          <t xml:space="preserve">Core depth and the project starts</t>
        </is>
      </c>
      <c r="F73" s="3" t="inlineStr">
        <is>
          <t xml:space="preserve">Topological ordering</t>
        </is>
      </c>
      <c r="G73" s="3" t="inlineStr">
        <is>
          <t xml:space="preserve">Course Schedule II</t>
        </is>
      </c>
      <c r="H73" s="3" t="inlineStr">
        <is>
          <t xml:space="preserve">TCP handshake, flow vs congestion control, head-of-line blocking, HTTP/2 and HTTP/3</t>
        </is>
      </c>
      <c r="I73" s="3" t="inlineStr">
        <is>
          <t xml:space="preserve">Flow control or congestion control — what is the difference?</t>
        </is>
      </c>
      <c r="J73" s="3" t="inlineStr">
        <is>
          <t xml:space="preserve">Not started</t>
        </is>
      </c>
      <c r="M73" s="4">
        <f>HYPERLINK("WEEKS/WEEK_11.md","Week 11 · Day 72")</f>
      </c>
    </row>
    <row r="74">
      <c r="A74" s="3">
        <v>73</v>
      </c>
      <c r="B74" s="2">
        <f>START!$B$4+A74-1</f>
      </c>
      <c r="C74" s="3">
        <f>TEXT(B74,"ddd")</f>
      </c>
      <c r="D74" s="3">
        <v>11</v>
      </c>
      <c r="E74" s="3" t="inlineStr">
        <is>
          <t xml:space="preserve">Core depth and the project starts</t>
        </is>
      </c>
      <c r="F74" s="3" t="inlineStr">
        <is>
          <t xml:space="preserve">Disjoint set union</t>
        </is>
      </c>
      <c r="G74" s="3" t="inlineStr">
        <is>
          <t xml:space="preserve">Implement DSU: find with path compression, union by rank/size, Redundant Connection, Number of Provinces</t>
        </is>
      </c>
      <c r="H74" s="3" t="inlineStr">
        <is>
          <t xml:space="preserve">TLS, what HTTPS does not protect, CORS and preflight, WebSockets</t>
        </is>
      </c>
      <c r="I74" s="3" t="inlineStr">
        <is>
          <t xml:space="preserve">Explain CORS and preflight (with the corrected middleware order).</t>
        </is>
      </c>
      <c r="J74" s="3" t="inlineStr">
        <is>
          <t xml:space="preserve">Not started</t>
        </is>
      </c>
      <c r="M74" s="4">
        <f>HYPERLINK("WEEKS/WEEK_11.md","Week 11 · Day 73")</f>
      </c>
    </row>
    <row r="75">
      <c r="A75" s="3">
        <v>74</v>
      </c>
      <c r="B75" s="2">
        <f>START!$B$4+A75-1</f>
      </c>
      <c r="C75" s="3">
        <f>TEXT(B75,"ddd")</f>
      </c>
      <c r="D75" s="3">
        <v>11</v>
      </c>
      <c r="E75" s="3" t="inlineStr">
        <is>
          <t xml:space="preserve">Core depth and the project starts</t>
        </is>
      </c>
      <c r="F75" s="3" t="inlineStr">
        <is>
          <t xml:space="preserve">Connectivity by shared identity</t>
        </is>
      </c>
      <c r="G75" s="3" t="inlineStr">
        <is>
          <t xml:space="preserve">Accounts Merge</t>
        </is>
      </c>
      <c r="H75" s="3" t="inlineStr">
        <is>
          <t xml:space="preserve">OS: process vs thread, context switches, virtual memory</t>
        </is>
      </c>
      <c r="I75" s="3" t="inlineStr">
        <is>
          <t xml:space="preserve">Why is a context switch expensive?</t>
        </is>
      </c>
      <c r="J75" s="3" t="inlineStr">
        <is>
          <t xml:space="preserve">Not started</t>
        </is>
      </c>
      <c r="M75" s="4">
        <f>HYPERLINK("WEEKS/WEEK_11.md","Week 11 · Day 74")</f>
      </c>
    </row>
    <row r="76">
      <c r="A76" s="3">
        <v>75</v>
      </c>
      <c r="B76" s="2">
        <f>START!$B$4+A76-1</f>
      </c>
      <c r="C76" s="3">
        <f>TEXT(B76,"ddd")</f>
      </c>
      <c r="D76" s="3">
        <v>11</v>
      </c>
      <c r="E76" s="3" t="inlineStr">
        <is>
          <t xml:space="preserve">Core depth and the project starts</t>
        </is>
      </c>
      <c r="F76" s="3" t="inlineStr">
        <is>
          <t xml:space="preserve">Repair and retrieval</t>
        </is>
      </c>
      <c r="G76" s="3" t="inlineStr">
        <is>
          <t xml:space="preserve">re-solves + Find Eventual Safe States</t>
        </is>
      </c>
      <c r="H76" s="3" t="inlineStr">
        <is>
          <t xml:space="preserve">re-explain the week</t>
        </is>
      </c>
      <c r="J76" s="3" t="inlineStr">
        <is>
          <t xml:space="preserve">Not started</t>
        </is>
      </c>
      <c r="M76" s="4">
        <f>HYPERLINK("WEEKS/WEEK_11.md","Week 11 · Day 75")</f>
      </c>
    </row>
    <row r="77">
      <c r="A77" s="3">
        <v>76</v>
      </c>
      <c r="B77" s="2">
        <f>START!$B$4+A77-1</f>
      </c>
      <c r="C77" s="3">
        <f>TEXT(B77,"ddd")</f>
      </c>
      <c r="D77" s="3">
        <v>11</v>
      </c>
      <c r="E77" s="3" t="inlineStr">
        <is>
          <t xml:space="preserve">Core depth and the project starts</t>
        </is>
      </c>
      <c r="F77" s="3" t="inlineStr">
        <is>
          <t xml:space="preserve">Deep work: DSA + design + lab/project</t>
        </is>
      </c>
      <c r="G77" s="3" t="inlineStr">
        <is>
          <t xml:space="preserve">Alien Dictionary, Graph Valid Tree, Number of Connected Components in an Undirected Graph, Minimum Height Trees</t>
        </is>
      </c>
      <c r="H77" s="3" t="inlineStr">
        <is>
          <t xml:space="preserve">Job platform HLD v1 (your project): requirements, acceptance vs completion latency, API, schema, durable state machine, </t>
        </is>
      </c>
      <c r="J77" s="3" t="inlineStr">
        <is>
          <t xml:space="preserve">Not started</t>
        </is>
      </c>
      <c r="M77" s="4">
        <f>HYPERLINK("WEEKS/WEEK_11.md","Week 11 · Day 76")</f>
      </c>
    </row>
    <row r="78">
      <c r="A78" s="3">
        <v>77</v>
      </c>
      <c r="B78" s="2">
        <f>START!$B$4+A78-1</f>
      </c>
      <c r="C78" s="3">
        <f>TEXT(B78,"ddd")</f>
      </c>
      <c r="D78" s="3">
        <v>11</v>
      </c>
      <c r="E78" s="3" t="inlineStr">
        <is>
          <t xml:space="preserve">Core depth and the project starts</t>
        </is>
      </c>
      <c r="F78" s="3" t="inlineStr">
        <is>
          <t xml:space="preserve">Weekly test, review, project, stories</t>
        </is>
      </c>
      <c r="H78" s="3" t="inlineStr">
        <is>
          <t xml:space="preserve">PROJECT M1 — finish and prove the acceptance test: restart the API and read the job back; integration test for an illega</t>
        </is>
      </c>
      <c r="J78" s="3" t="inlineStr">
        <is>
          <t xml:space="preserve">Not started</t>
        </is>
      </c>
      <c r="M78" s="4">
        <f>HYPERLINK("WEEKS/WEEK_11.md","Week 11 · Day 77")</f>
      </c>
    </row>
    <row r="79">
      <c r="A79" s="3">
        <v>78</v>
      </c>
      <c r="B79" s="2">
        <f>START!$B$4+A79-1</f>
      </c>
      <c r="C79" s="3">
        <f>TEXT(B79,"ddd")</f>
      </c>
      <c r="D79" s="3">
        <v>12</v>
      </c>
      <c r="E79" s="3" t="inlineStr">
        <is>
          <t xml:space="preserve">Core depth and the project starts</t>
        </is>
      </c>
      <c r="F79" s="3" t="inlineStr">
        <is>
          <t xml:space="preserve">Weighted shortest path</t>
        </is>
      </c>
      <c r="G79" s="3" t="inlineStr">
        <is>
          <t xml:space="preserve">Network Delay Time</t>
        </is>
      </c>
      <c r="H79" s="3" t="inlineStr">
        <is>
          <t xml:space="preserve">OS scheduler vs .NET scheduler; mutex, semaphore, spinlock; async I/O without a thread</t>
        </is>
      </c>
      <c r="I79" s="3" t="inlineStr">
        <is>
          <t xml:space="preserve">Why does async I/O not need a thread while waiting?</t>
        </is>
      </c>
      <c r="J79" s="3" t="inlineStr">
        <is>
          <t xml:space="preserve">Not started</t>
        </is>
      </c>
      <c r="M79" s="4">
        <f>HYPERLINK("WEEKS/WEEK_12.md","Week 12 · Day 78")</f>
      </c>
    </row>
    <row r="80">
      <c r="A80" s="3">
        <v>79</v>
      </c>
      <c r="B80" s="2">
        <f>START!$B$4+A80-1</f>
      </c>
      <c r="C80" s="3">
        <f>TEXT(B80,"ddd")</f>
      </c>
      <c r="D80" s="3">
        <v>12</v>
      </c>
      <c r="E80" s="3" t="inlineStr">
        <is>
          <t xml:space="preserve">Core depth and the project starts</t>
        </is>
      </c>
      <c r="F80" s="3" t="inlineStr">
        <is>
          <t xml:space="preserve">Sort and merge intervals</t>
        </is>
      </c>
      <c r="G80" s="3" t="inlineStr">
        <is>
          <t xml:space="preserve">Merge Intervals, Insert Interval</t>
        </is>
      </c>
      <c r="H80" s="3" t="inlineStr">
        <is>
          <t xml:space="preserve">Delivery guarantees, exactly-once processing, visibility timeouts</t>
        </is>
      </c>
      <c r="I80" s="3" t="inlineStr">
        <is>
          <t xml:space="preserve">Explain the delivery guarantees, and how you get exactly-once *processing*.</t>
        </is>
      </c>
      <c r="J80" s="3" t="inlineStr">
        <is>
          <t xml:space="preserve">Not started</t>
        </is>
      </c>
      <c r="M80" s="4">
        <f>HYPERLINK("WEEKS/WEEK_12.md","Week 12 · Day 79")</f>
      </c>
    </row>
    <row r="81">
      <c r="A81" s="3">
        <v>80</v>
      </c>
      <c r="B81" s="2">
        <f>START!$B$4+A81-1</f>
      </c>
      <c r="C81" s="3">
        <f>TEXT(B81,"ddd")</f>
      </c>
      <c r="D81" s="3">
        <v>12</v>
      </c>
      <c r="E81" s="3" t="inlineStr">
        <is>
          <t xml:space="preserve">Core depth and the project starts</t>
        </is>
      </c>
      <c r="F81" s="3" t="inlineStr">
        <is>
          <t xml:space="preserve">Greedy interval scheduling</t>
        </is>
      </c>
      <c r="G81" s="3" t="inlineStr">
        <is>
          <t xml:space="preserve">Non-overlapping Intervals, Minimum Number of Arrows to Burst Balloons, Meeting Rooms II</t>
        </is>
      </c>
      <c r="H81" s="3" t="inlineStr">
        <is>
          <t xml:space="preserve">Retries with jitter, DLQ, SQS vs RabbitMQ vs Kafka</t>
        </is>
      </c>
      <c r="I81" s="3" t="inlineStr">
        <is>
          <t xml:space="preserve">SQS, RabbitMQ or Kafka — how do you choose?</t>
        </is>
      </c>
      <c r="J81" s="3" t="inlineStr">
        <is>
          <t xml:space="preserve">Not started</t>
        </is>
      </c>
      <c r="M81" s="4">
        <f>HYPERLINK("WEEKS/WEEK_12.md","Week 12 · Day 80")</f>
      </c>
    </row>
    <row r="82">
      <c r="A82" s="3">
        <v>81</v>
      </c>
      <c r="B82" s="2">
        <f>START!$B$4+A82-1</f>
      </c>
      <c r="C82" s="3">
        <f>TEXT(B82,"ddd")</f>
      </c>
      <c r="D82" s="3">
        <v>12</v>
      </c>
      <c r="E82" s="3" t="inlineStr">
        <is>
          <t xml:space="preserve">Core depth and the project starts</t>
        </is>
      </c>
      <c r="F82" s="3" t="inlineStr">
        <is>
          <t xml:space="preserve">Reachability with greedy state</t>
        </is>
      </c>
      <c r="G82" s="3" t="inlineStr">
        <is>
          <t xml:space="preserve">Jump Game, Gas Station</t>
        </is>
      </c>
      <c r="H82" s="3" t="inlineStr">
        <is>
          <t xml:space="preserve">Kafka partitions and ordering, backpressure, the outbox pattern; HttpClient lifetime</t>
        </is>
      </c>
      <c r="I82" s="3" t="inlineStr">
        <is>
          <t xml:space="preserve">What is the outbox pattern and what problem does it solve?</t>
        </is>
      </c>
      <c r="J82" s="3" t="inlineStr">
        <is>
          <t xml:space="preserve">Not started</t>
        </is>
      </c>
      <c r="M82" s="4">
        <f>HYPERLINK("WEEKS/WEEK_12.md","Week 12 · Day 81")</f>
      </c>
    </row>
    <row r="83">
      <c r="A83" s="3">
        <v>82</v>
      </c>
      <c r="B83" s="2">
        <f>START!$B$4+A83-1</f>
      </c>
      <c r="C83" s="3">
        <f>TEXT(B83,"ddd")</f>
      </c>
      <c r="D83" s="3">
        <v>12</v>
      </c>
      <c r="E83" s="3" t="inlineStr">
        <is>
          <t xml:space="preserve">Core depth and the project starts</t>
        </is>
      </c>
      <c r="F83" s="3" t="inlineStr">
        <is>
          <t xml:space="preserve">Repair and retrieval</t>
        </is>
      </c>
      <c r="G83" s="3" t="inlineStr">
        <is>
          <t xml:space="preserve">re-solves + Path With Minimum Effort</t>
        </is>
      </c>
      <c r="H83" s="3" t="inlineStr">
        <is>
          <t xml:space="preserve">re-explain the week</t>
        </is>
      </c>
      <c r="J83" s="3" t="inlineStr">
        <is>
          <t xml:space="preserve">Not started</t>
        </is>
      </c>
      <c r="M83" s="4">
        <f>HYPERLINK("WEEKS/WEEK_12.md","Week 12 · Day 82")</f>
      </c>
    </row>
    <row r="84">
      <c r="A84" s="3">
        <v>83</v>
      </c>
      <c r="B84" s="2">
        <f>START!$B$4+A84-1</f>
      </c>
      <c r="C84" s="3">
        <f>TEXT(B84,"ddd")</f>
      </c>
      <c r="D84" s="3">
        <v>12</v>
      </c>
      <c r="E84" s="3" t="inlineStr">
        <is>
          <t xml:space="preserve">Core depth and the project starts</t>
        </is>
      </c>
      <c r="F84" s="3" t="inlineStr">
        <is>
          <t xml:space="preserve">Deep work: DSA + design + lab/project</t>
        </is>
      </c>
      <c r="G84" s="3" t="inlineStr">
        <is>
          <t xml:space="preserve">Cheapest Flights Within K Stops, Min Cost to Connect All Points, Jump Game II, Partition Labels</t>
        </is>
      </c>
      <c r="H84" s="3" t="inlineStr">
        <is>
          <t xml:space="preserve">Notification service HLD: channels and preferences, async delivery through queues, retries per channel, duplicate preven</t>
        </is>
      </c>
      <c r="J84" s="3" t="inlineStr">
        <is>
          <t xml:space="preserve">Not started</t>
        </is>
      </c>
      <c r="M84" s="4">
        <f>HYPERLINK("WEEKS/WEEK_12.md","Week 12 · Day 83")</f>
      </c>
    </row>
    <row r="85">
      <c r="A85" s="3">
        <v>84</v>
      </c>
      <c r="B85" s="2">
        <f>START!$B$4+A85-1</f>
      </c>
      <c r="C85" s="3">
        <f>TEXT(B85,"ddd")</f>
      </c>
      <c r="D85" s="3">
        <v>12</v>
      </c>
      <c r="E85" s="3" t="inlineStr">
        <is>
          <t xml:space="preserve">Core depth and the project starts</t>
        </is>
      </c>
      <c r="F85" s="3" t="inlineStr">
        <is>
          <t xml:space="preserve">Month 3 checkpoint</t>
        </is>
      </c>
      <c r="H85" s="3" t="inlineStr">
        <is>
          <t xml:space="preserve">Month 3 test (see checkpoint). Then finish PROJECT M2: stop the worker in the middle of a job and show the message is re</t>
        </is>
      </c>
      <c r="J85" s="3" t="inlineStr">
        <is>
          <t xml:space="preserve">Not started</t>
        </is>
      </c>
      <c r="M85" s="4">
        <f>HYPERLINK("WEEKS/WEEK_12.md","Week 12 · Day 84")</f>
      </c>
    </row>
    <row r="86">
      <c r="A86" s="3">
        <v>85</v>
      </c>
      <c r="B86" s="2">
        <f>START!$B$4+A86-1</f>
      </c>
      <c r="C86" s="3">
        <f>TEXT(B86,"ddd")</f>
      </c>
      <c r="D86" s="3">
        <v>13</v>
      </c>
      <c r="E86" s="3" t="inlineStr">
        <is>
          <t xml:space="preserve">Core depth and the project starts</t>
        </is>
      </c>
      <c r="F86" s="3" t="inlineStr">
        <is>
          <t xml:space="preserve">From recursion to DP</t>
        </is>
      </c>
      <c r="G86" s="3" t="inlineStr">
        <is>
          <t xml:space="preserve">Climbing Stairs, Min Cost Climbing Stairs</t>
        </is>
      </c>
      <c r="H86" s="3" t="inlineStr">
        <is>
          <t xml:space="preserve">Replication, read-your-writes, quorum, split brain</t>
        </is>
      </c>
      <c r="I86" s="3" t="inlineStr">
        <is>
          <t xml:space="preserve">Why can a read replica serve stale data, and how do you hide that from a user?</t>
        </is>
      </c>
      <c r="J86" s="3" t="inlineStr">
        <is>
          <t xml:space="preserve">Not started</t>
        </is>
      </c>
      <c r="M86" s="4">
        <f>HYPERLINK("WEEKS/WEEK_13.md","Week 13 · Day 85")</f>
      </c>
    </row>
    <row r="87">
      <c r="A87" s="3">
        <v>86</v>
      </c>
      <c r="B87" s="2">
        <f>START!$B$4+A87-1</f>
      </c>
      <c r="C87" s="3">
        <f>TEXT(B87,"ddd")</f>
      </c>
      <c r="D87" s="3">
        <v>13</v>
      </c>
      <c r="E87" s="3" t="inlineStr">
        <is>
          <t xml:space="preserve">Core depth and the project starts</t>
        </is>
      </c>
      <c r="F87" s="3" t="inlineStr">
        <is>
          <t xml:space="preserve">Take or skip</t>
        </is>
      </c>
      <c r="G87" s="3" t="inlineStr">
        <is>
          <t xml:space="preserve">House Robber, House Robber II, N-th Tribonacci Number</t>
        </is>
      </c>
      <c r="H87" s="3" t="inlineStr">
        <is>
          <t xml:space="preserve">Consistent hashing, sharding, hot keys, CAP and PACELC, consistency models</t>
        </is>
      </c>
      <c r="I87" s="3" t="inlineStr">
        <is>
          <t xml:space="preserve">What does CAP actually say, and what is the common misreading?</t>
        </is>
      </c>
      <c r="J87" s="3" t="inlineStr">
        <is>
          <t xml:space="preserve">Not started</t>
        </is>
      </c>
      <c r="M87" s="4">
        <f>HYPERLINK("WEEKS/WEEK_13.md","Week 13 · Day 86")</f>
      </c>
    </row>
    <row r="88">
      <c r="A88" s="3">
        <v>87</v>
      </c>
      <c r="B88" s="2">
        <f>START!$B$4+A88-1</f>
      </c>
      <c r="C88" s="3">
        <f>TEXT(B88,"ddd")</f>
      </c>
      <c r="D88" s="3">
        <v>13</v>
      </c>
      <c r="E88" s="3" t="inlineStr">
        <is>
          <t xml:space="preserve">Core depth and the project starts</t>
        </is>
      </c>
      <c r="F88" s="3" t="inlineStr">
        <is>
          <t xml:space="preserve">Unbounded choices</t>
        </is>
      </c>
      <c r="G88" s="3" t="inlineStr">
        <is>
          <t xml:space="preserve">Coin Change, Decode Ways</t>
        </is>
      </c>
      <c r="H88" s="3" t="inlineStr">
        <is>
          <t xml:space="preserve">Redis, eviction (LRU/LFU/TTL), cache patterns, invalidation, stampede</t>
        </is>
      </c>
      <c r="I88" s="3" t="inlineStr">
        <is>
          <t xml:space="preserve">Why is Redis being single-threaded a feature?</t>
        </is>
      </c>
      <c r="J88" s="3" t="inlineStr">
        <is>
          <t xml:space="preserve">Not started</t>
        </is>
      </c>
      <c r="M88" s="4">
        <f>HYPERLINK("WEEKS/WEEK_13.md","Week 13 · Day 87")</f>
      </c>
    </row>
    <row r="89">
      <c r="A89" s="3">
        <v>88</v>
      </c>
      <c r="B89" s="2">
        <f>START!$B$4+A89-1</f>
      </c>
      <c r="C89" s="3">
        <f>TEXT(B89,"ddd")</f>
      </c>
      <c r="D89" s="3">
        <v>13</v>
      </c>
      <c r="E89" s="3" t="inlineStr">
        <is>
          <t xml:space="preserve">Core depth and the project starts</t>
        </is>
      </c>
      <c r="F89" s="3" t="inlineStr">
        <is>
          <t xml:space="preserve">Segmentation and subsequences</t>
        </is>
      </c>
      <c r="G89" s="3" t="inlineStr">
        <is>
          <t xml:space="preserve">Word Break, Longest Increasing Subsequence</t>
        </is>
      </c>
      <c r="H89" s="3" t="inlineStr">
        <is>
          <t xml:space="preserve">Scaling fundamentals: vertical vs horizontal, stateless, load balancers L4/L7, gateways, discovery, DNS load balancing, CDN</t>
        </is>
      </c>
      <c r="I89" s="3" t="inlineStr">
        <is>
          <t xml:space="preserve">L4 vs L7 load balancer?</t>
        </is>
      </c>
      <c r="J89" s="3" t="inlineStr">
        <is>
          <t xml:space="preserve">Not started</t>
        </is>
      </c>
      <c r="M89" s="4">
        <f>HYPERLINK("WEEKS/WEEK_13.md","Week 13 · Day 88")</f>
      </c>
    </row>
    <row r="90">
      <c r="A90" s="3">
        <v>89</v>
      </c>
      <c r="B90" s="2">
        <f>START!$B$4+A90-1</f>
      </c>
      <c r="C90" s="3">
        <f>TEXT(B90,"ddd")</f>
      </c>
      <c r="D90" s="3">
        <v>13</v>
      </c>
      <c r="E90" s="3" t="inlineStr">
        <is>
          <t xml:space="preserve">Core depth and the project starts</t>
        </is>
      </c>
      <c r="F90" s="3" t="inlineStr">
        <is>
          <t xml:space="preserve">Repair and retrieval</t>
        </is>
      </c>
      <c r="G90" s="3" t="inlineStr">
        <is>
          <t xml:space="preserve">re-solves + Combination Sum IV</t>
        </is>
      </c>
      <c r="H90" s="3" t="inlineStr">
        <is>
          <t xml:space="preserve">re-explain the week</t>
        </is>
      </c>
      <c r="J90" s="3" t="inlineStr">
        <is>
          <t xml:space="preserve">Not started</t>
        </is>
      </c>
      <c r="M90" s="4">
        <f>HYPERLINK("WEEKS/WEEK_13.md","Week 13 · Day 89")</f>
      </c>
    </row>
    <row r="91">
      <c r="A91" s="3">
        <v>90</v>
      </c>
      <c r="B91" s="2">
        <f>START!$B$4+A91-1</f>
      </c>
      <c r="C91" s="3">
        <f>TEXT(B91,"ddd")</f>
      </c>
      <c r="D91" s="3">
        <v>13</v>
      </c>
      <c r="E91" s="3" t="inlineStr">
        <is>
          <t xml:space="preserve">Core depth and the project starts</t>
        </is>
      </c>
      <c r="F91" s="3" t="inlineStr">
        <is>
          <t xml:space="preserve">Deep work: DSA + design + lab/project</t>
        </is>
      </c>
      <c r="G91" s="3" t="inlineStr">
        <is>
          <t xml:space="preserve">Maximum Product Subarray, Longest Palindromic Substring, Palindromic Substrings, Combination Sum IV</t>
        </is>
      </c>
      <c r="H91" s="3" t="inlineStr">
        <is>
          <t xml:space="preserve">LLD: split-expense service (Splitwise) — users, groups, expenses, split types (equal, exact, percent), balances, simplif</t>
        </is>
      </c>
      <c r="J91" s="3" t="inlineStr">
        <is>
          <t xml:space="preserve">Not started</t>
        </is>
      </c>
      <c r="M91" s="4">
        <f>HYPERLINK("WEEKS/WEEK_13.md","Week 13 · Day 90")</f>
      </c>
    </row>
    <row r="92">
      <c r="A92" s="3">
        <v>91</v>
      </c>
      <c r="B92" s="2">
        <f>START!$B$4+A92-1</f>
      </c>
      <c r="C92" s="3">
        <f>TEXT(B92,"ddd")</f>
      </c>
      <c r="D92" s="3">
        <v>13</v>
      </c>
      <c r="E92" s="3" t="inlineStr">
        <is>
          <t xml:space="preserve">Core depth and the project starts</t>
        </is>
      </c>
      <c r="F92" s="3" t="inlineStr">
        <is>
          <t xml:space="preserve">Weekly test, review, project, stories</t>
        </is>
      </c>
      <c r="H92" s="3" t="inlineStr">
        <is>
          <t xml:space="preserve">Finish PROJECT M3 and write its decision record (why outbox, polling vs CDC, ordering).</t>
        </is>
      </c>
      <c r="J92" s="3" t="inlineStr">
        <is>
          <t xml:space="preserve">Not started</t>
        </is>
      </c>
      <c r="M92" s="4">
        <f>HYPERLINK("WEEKS/WEEK_13.md","Week 13 · Day 91")</f>
      </c>
    </row>
    <row r="93">
      <c r="A93" s="3">
        <v>92</v>
      </c>
      <c r="B93" s="2">
        <f>START!$B$4+A93-1</f>
      </c>
      <c r="C93" s="3">
        <f>TEXT(B93,"ddd")</f>
      </c>
      <c r="D93" s="3">
        <v>14</v>
      </c>
      <c r="E93" s="3" t="inlineStr">
        <is>
          <t xml:space="preserve">Core depth and the project starts</t>
        </is>
      </c>
      <c r="F93" s="3" t="inlineStr">
        <is>
          <t xml:space="preserve">0/1 decisions</t>
        </is>
      </c>
      <c r="G93" s="3" t="inlineStr">
        <is>
          <t xml:space="preserve">0/1 knapsack (classic) — derive state, then 1-D array looping backwards, Partition Equal Subset Sum, Subset sum (boolean DP)</t>
        </is>
      </c>
      <c r="H93" s="3" t="inlineStr">
        <is>
          <t xml:space="preserve">SOLID: single responsibility and open/closed</t>
        </is>
      </c>
      <c r="I93" s="3" t="inlineStr">
        <is>
          <t xml:space="preserve">Explain Single Responsibility without reciting the definition.</t>
        </is>
      </c>
      <c r="J93" s="3" t="inlineStr">
        <is>
          <t xml:space="preserve">Not started</t>
        </is>
      </c>
      <c r="M93" s="4">
        <f>HYPERLINK("WEEKS/WEEK_14.md","Week 14 · Day 92")</f>
      </c>
    </row>
    <row r="94">
      <c r="A94" s="3">
        <v>93</v>
      </c>
      <c r="B94" s="2">
        <f>START!$B$4+A94-1</f>
      </c>
      <c r="C94" s="3">
        <f>TEXT(B94,"ddd")</f>
      </c>
      <c r="D94" s="3">
        <v>14</v>
      </c>
      <c r="E94" s="3" t="inlineStr">
        <is>
          <t xml:space="preserve">Core depth and the project starts</t>
        </is>
      </c>
      <c r="F94" s="3" t="inlineStr">
        <is>
          <t xml:space="preserve">Counting: combinations vs permutations</t>
        </is>
      </c>
      <c r="G94" s="3" t="inlineStr">
        <is>
          <t xml:space="preserve">Coin Change II, Target Sum</t>
        </is>
      </c>
      <c r="H94" s="3" t="inlineStr">
        <is>
          <t xml:space="preserve">Liskov, Interface Segregation, Dependency Inversion; when a pattern is over-engineering</t>
        </is>
      </c>
      <c r="I94" s="3" t="inlineStr">
        <is>
          <t xml:space="preserve">Why is Dependency Inversion not the same as using a DI container?</t>
        </is>
      </c>
      <c r="J94" s="3" t="inlineStr">
        <is>
          <t xml:space="preserve">Not started</t>
        </is>
      </c>
      <c r="M94" s="4">
        <f>HYPERLINK("WEEKS/WEEK_14.md","Week 14 · Day 93")</f>
      </c>
    </row>
    <row r="95">
      <c r="A95" s="3">
        <v>94</v>
      </c>
      <c r="B95" s="2">
        <f>START!$B$4+A95-1</f>
      </c>
      <c r="C95" s="3">
        <f>TEXT(B95,"ddd")</f>
      </c>
      <c r="D95" s="3">
        <v>14</v>
      </c>
      <c r="E95" s="3" t="inlineStr">
        <is>
          <t xml:space="preserve">Core depth and the project starts</t>
        </is>
      </c>
      <c r="F95" s="3" t="inlineStr">
        <is>
          <t xml:space="preserve">Grid paths</t>
        </is>
      </c>
      <c r="G95" s="3" t="inlineStr">
        <is>
          <t xml:space="preserve">Unique Paths, Unique Paths II, Minimum Path Sum</t>
        </is>
      </c>
      <c r="H95" s="3" t="inlineStr">
        <is>
          <t xml:space="preserve">Strategy vs switch, event-handler leaks, Decorator vs inheritance; the 23 GoF patterns</t>
        </is>
      </c>
      <c r="I95" s="3" t="inlineStr">
        <is>
          <t xml:space="preserve">Decorator or inheritance?</t>
        </is>
      </c>
      <c r="J95" s="3" t="inlineStr">
        <is>
          <t xml:space="preserve">Not started</t>
        </is>
      </c>
      <c r="M95" s="4">
        <f>HYPERLINK("WEEKS/WEEK_14.md","Week 14 · Day 94")</f>
      </c>
    </row>
    <row r="96">
      <c r="A96" s="3">
        <v>95</v>
      </c>
      <c r="B96" s="2">
        <f>START!$B$4+A96-1</f>
      </c>
      <c r="C96" s="3">
        <f>TEXT(B96,"ddd")</f>
      </c>
      <c r="D96" s="3">
        <v>14</v>
      </c>
      <c r="E96" s="3" t="inlineStr">
        <is>
          <t xml:space="preserve">Core depth and the project starts</t>
        </is>
      </c>
      <c r="F96" s="3" t="inlineStr">
        <is>
          <t xml:space="preserve">More knapsack shapes</t>
        </is>
      </c>
      <c r="G96" s="3" t="inlineStr">
        <is>
          <t xml:space="preserve">Ones and Zeroes, Perfect Squares, Last Stone Weight II</t>
        </is>
      </c>
      <c r="H96" s="3" t="inlineStr">
        <is>
          <t xml:space="preserve">Repository over EF Core, Singleton, anti-patterns, testability</t>
        </is>
      </c>
      <c r="I96" s="3" t="inlineStr">
        <is>
          <t xml:space="preserve">Why is untestable code usually badly designed code?</t>
        </is>
      </c>
      <c r="J96" s="3" t="inlineStr">
        <is>
          <t xml:space="preserve">Not started</t>
        </is>
      </c>
      <c r="M96" s="4">
        <f>HYPERLINK("WEEKS/WEEK_14.md","Week 14 · Day 95")</f>
      </c>
    </row>
    <row r="97">
      <c r="A97" s="3">
        <v>96</v>
      </c>
      <c r="B97" s="2">
        <f>START!$B$4+A97-1</f>
      </c>
      <c r="C97" s="3">
        <f>TEXT(B97,"ddd")</f>
      </c>
      <c r="D97" s="3">
        <v>14</v>
      </c>
      <c r="E97" s="3" t="inlineStr">
        <is>
          <t xml:space="preserve">Core depth and the project starts</t>
        </is>
      </c>
      <c r="F97" s="3" t="inlineStr">
        <is>
          <t xml:space="preserve">Repair and retrieval</t>
        </is>
      </c>
      <c r="G97" s="3" t="inlineStr">
        <is>
          <t xml:space="preserve">re-solves + Triangle</t>
        </is>
      </c>
      <c r="H97" s="3" t="inlineStr">
        <is>
          <t xml:space="preserve">re-explain the week</t>
        </is>
      </c>
      <c r="J97" s="3" t="inlineStr">
        <is>
          <t xml:space="preserve">Not started</t>
        </is>
      </c>
      <c r="M97" s="4">
        <f>HYPERLINK("WEEKS/WEEK_14.md","Week 14 · Day 96")</f>
      </c>
    </row>
    <row r="98">
      <c r="A98" s="3">
        <v>97</v>
      </c>
      <c r="B98" s="2">
        <f>START!$B$4+A98-1</f>
      </c>
      <c r="C98" s="3">
        <f>TEXT(B98,"ddd")</f>
      </c>
      <c r="D98" s="3">
        <v>14</v>
      </c>
      <c r="E98" s="3" t="inlineStr">
        <is>
          <t xml:space="preserve">Core depth and the project starts</t>
        </is>
      </c>
      <c r="F98" s="3" t="inlineStr">
        <is>
          <t xml:space="preserve">Deep work: DSA + design + lab/project</t>
        </is>
      </c>
      <c r="G98" s="3" t="inlineStr">
        <is>
          <t xml:space="preserve">Triangle, Maximal Square, Count Square Submatrices with All Ones, Coin Change</t>
        </is>
      </c>
      <c r="H98" s="3" t="inlineStr">
        <is>
          <t xml:space="preserve">LLD: rate limiter with a controllable clock — token bucket class, per-client policy, TimeProvider/FakeTimeProvider in te</t>
        </is>
      </c>
      <c r="J98" s="3" t="inlineStr">
        <is>
          <t xml:space="preserve">Not started</t>
        </is>
      </c>
      <c r="M98" s="4">
        <f>HYPERLINK("WEEKS/WEEK_14.md","Week 14 · Day 97")</f>
      </c>
    </row>
    <row r="99">
      <c r="A99" s="3">
        <v>98</v>
      </c>
      <c r="B99" s="2">
        <f>START!$B$4+A99-1</f>
      </c>
      <c r="C99" s="3">
        <f>TEXT(B99,"ddd")</f>
      </c>
      <c r="D99" s="3">
        <v>14</v>
      </c>
      <c r="E99" s="3" t="inlineStr">
        <is>
          <t xml:space="preserve">Core depth and the project starts</t>
        </is>
      </c>
      <c r="F99" s="3" t="inlineStr">
        <is>
          <t xml:space="preserve">Weekly test, review, project, stories</t>
        </is>
      </c>
      <c r="H99" s="3" t="inlineStr">
        <is>
          <t xml:space="preserve">Finish PROJECT M4 tests. Write down exactly where the guarantee stops (external effects).</t>
        </is>
      </c>
      <c r="J99" s="3" t="inlineStr">
        <is>
          <t xml:space="preserve">Not started</t>
        </is>
      </c>
      <c r="M99" s="4">
        <f>HYPERLINK("WEEKS/WEEK_14.md","Week 14 · Day 98")</f>
      </c>
    </row>
    <row r="100">
      <c r="A100" s="3">
        <v>99</v>
      </c>
      <c r="B100" s="2">
        <f>START!$B$4+A100-1</f>
      </c>
      <c r="C100" s="3">
        <f>TEXT(B100,"ddd")</f>
      </c>
      <c r="D100" s="3">
        <v>15</v>
      </c>
      <c r="E100" s="3" t="inlineStr">
        <is>
          <t xml:space="preserve">Core depth and the project starts</t>
        </is>
      </c>
      <c r="F100" s="3" t="inlineStr">
        <is>
          <t xml:space="preserve">Two-string state</t>
        </is>
      </c>
      <c r="G100" s="3" t="inlineStr">
        <is>
          <t xml:space="preserve">Longest Common Subsequence</t>
        </is>
      </c>
      <c r="H100" s="3" t="inlineStr">
        <is>
          <t xml:space="preserve">Authentication vs authorization; JWT validation and negative tests</t>
        </is>
      </c>
      <c r="I100" s="3" t="inlineStr">
        <is>
          <t xml:space="preserve">Why is 'authenticated' not the same as 'authorized'?</t>
        </is>
      </c>
      <c r="J100" s="3" t="inlineStr">
        <is>
          <t xml:space="preserve">Not started</t>
        </is>
      </c>
      <c r="M100" s="4">
        <f>HYPERLINK("WEEKS/WEEK_15.md","Week 15 · Day 99")</f>
      </c>
    </row>
    <row r="101">
      <c r="A101" s="3">
        <v>100</v>
      </c>
      <c r="B101" s="2">
        <f>START!$B$4+A101-1</f>
      </c>
      <c r="C101" s="3">
        <f>TEXT(B101,"ddd")</f>
      </c>
      <c r="D101" s="3">
        <v>15</v>
      </c>
      <c r="E101" s="3" t="inlineStr">
        <is>
          <t xml:space="preserve">Core depth and the project starts</t>
        </is>
      </c>
      <c r="F101" s="3" t="inlineStr">
        <is>
          <t xml:space="preserve">Edit operations</t>
        </is>
      </c>
      <c r="G101" s="3" t="inlineStr">
        <is>
          <t xml:space="preserve">Edit Distance, Interleaving String</t>
        </is>
      </c>
      <c r="H101" s="3" t="inlineStr">
        <is>
          <t xml:space="preserve">Object- and function-level authorization; tenant isolation (OWASP API1, API5)</t>
        </is>
      </c>
      <c r="I101" s="3" t="inlineStr">
        <is>
          <t xml:space="preserve">How do you prove tenant isolation rather than assert it?</t>
        </is>
      </c>
      <c r="J101" s="3" t="inlineStr">
        <is>
          <t xml:space="preserve">Not started</t>
        </is>
      </c>
      <c r="M101" s="4">
        <f>HYPERLINK("WEEKS/WEEK_15.md","Week 15 · Day 100")</f>
      </c>
    </row>
    <row r="102">
      <c r="A102" s="3">
        <v>101</v>
      </c>
      <c r="B102" s="2">
        <f>START!$B$4+A102-1</f>
      </c>
      <c r="C102" s="3">
        <f>TEXT(B102,"ddd")</f>
      </c>
      <c r="D102" s="3">
        <v>15</v>
      </c>
      <c r="E102" s="3" t="inlineStr">
        <is>
          <t xml:space="preserve">Core depth and the project starts</t>
        </is>
      </c>
      <c r="F102" s="3" t="inlineStr">
        <is>
          <t xml:space="preserve">Stock state machines</t>
        </is>
      </c>
      <c r="G102" s="3" t="inlineStr">
        <is>
          <t xml:space="preserve">Best Time to Buy and Sell Stock II, Best Time to Buy and Sell Stock with Cooldown</t>
        </is>
      </c>
      <c r="H102" s="3" t="inlineStr">
        <is>
          <t xml:space="preserve">Input validation, injection, mass assignment, request limits, sensitive data in logs</t>
        </is>
      </c>
      <c r="I102" s="3" t="inlineStr">
        <is>
          <t xml:space="preserve">What is mass assignment and how do DTOs prevent it?</t>
        </is>
      </c>
      <c r="J102" s="3" t="inlineStr">
        <is>
          <t xml:space="preserve">Not started</t>
        </is>
      </c>
      <c r="M102" s="4">
        <f>HYPERLINK("WEEKS/WEEK_15.md","Week 15 · Day 101")</f>
      </c>
    </row>
    <row r="103">
      <c r="A103" s="3">
        <v>102</v>
      </c>
      <c r="B103" s="2">
        <f>START!$B$4+A103-1</f>
      </c>
      <c r="C103" s="3">
        <f>TEXT(B103,"ddd")</f>
      </c>
      <c r="D103" s="3">
        <v>15</v>
      </c>
      <c r="E103" s="3" t="inlineStr">
        <is>
          <t xml:space="preserve">Core depth and the project starts</t>
        </is>
      </c>
      <c r="F103" s="3" t="inlineStr">
        <is>
          <t xml:space="preserve">Subsequence families</t>
        </is>
      </c>
      <c r="G103" s="3" t="inlineStr">
        <is>
          <t xml:space="preserve">Longest Palindromic Subsequence, Number of Longest Increasing Subsequence</t>
        </is>
      </c>
      <c r="H103" s="3" t="inlineStr">
        <is>
          <t xml:space="preserve">CORS vs CSRF, SSRF, secrets management, threat modeling</t>
        </is>
      </c>
      <c r="I103" s="3" t="inlineStr">
        <is>
          <t xml:space="preserve">Why is CORS not a CSRF defence?</t>
        </is>
      </c>
      <c r="J103" s="3" t="inlineStr">
        <is>
          <t xml:space="preserve">Not started</t>
        </is>
      </c>
      <c r="M103" s="4">
        <f>HYPERLINK("WEEKS/WEEK_15.md","Week 15 · Day 102")</f>
      </c>
    </row>
    <row r="104">
      <c r="A104" s="3">
        <v>103</v>
      </c>
      <c r="B104" s="2">
        <f>START!$B$4+A104-1</f>
      </c>
      <c r="C104" s="3">
        <f>TEXT(B104,"ddd")</f>
      </c>
      <c r="D104" s="3">
        <v>15</v>
      </c>
      <c r="E104" s="3" t="inlineStr">
        <is>
          <t xml:space="preserve">Core depth and the project starts</t>
        </is>
      </c>
      <c r="F104" s="3" t="inlineStr">
        <is>
          <t xml:space="preserve">Repair and retrieval</t>
        </is>
      </c>
      <c r="G104" s="3" t="inlineStr">
        <is>
          <t xml:space="preserve">re-solves + Distinct Subsequences</t>
        </is>
      </c>
      <c r="H104" s="3" t="inlineStr">
        <is>
          <t xml:space="preserve">re-explain the week</t>
        </is>
      </c>
      <c r="J104" s="3" t="inlineStr">
        <is>
          <t xml:space="preserve">Not started</t>
        </is>
      </c>
      <c r="M104" s="4">
        <f>HYPERLINK("WEEKS/WEEK_15.md","Week 15 · Day 103")</f>
      </c>
    </row>
    <row r="105">
      <c r="A105" s="3">
        <v>104</v>
      </c>
      <c r="B105" s="2">
        <f>START!$B$4+A105-1</f>
      </c>
      <c r="C105" s="3">
        <f>TEXT(B105,"ddd")</f>
      </c>
      <c r="D105" s="3">
        <v>15</v>
      </c>
      <c r="E105" s="3" t="inlineStr">
        <is>
          <t xml:space="preserve">Core depth and the project starts</t>
        </is>
      </c>
      <c r="F105" s="3" t="inlineStr">
        <is>
          <t xml:space="preserve">Deep work: DSA + design + lab/project</t>
        </is>
      </c>
      <c r="G105" s="3" t="inlineStr">
        <is>
          <t xml:space="preserve">Distinct Subsequences, Word Break, Longest Increasing Subsequence, Decode Ways</t>
        </is>
      </c>
      <c r="H105" s="3" t="inlineStr">
        <is>
          <t xml:space="preserve">LLD: elevator system — requests, direction, a state machine (Idle, MovingUp, MovingDown, DoorsOpen), a scheduling strate</t>
        </is>
      </c>
      <c r="J105" s="3" t="inlineStr">
        <is>
          <t xml:space="preserve">Not started</t>
        </is>
      </c>
      <c r="M105" s="4">
        <f>HYPERLINK("WEEKS/WEEK_15.md","Week 15 · Day 104")</f>
      </c>
    </row>
    <row r="106">
      <c r="A106" s="3">
        <v>105</v>
      </c>
      <c r="B106" s="2">
        <f>START!$B$4+A106-1</f>
      </c>
      <c r="C106" s="3">
        <f>TEXT(B106,"ddd")</f>
      </c>
      <c r="D106" s="3">
        <v>15</v>
      </c>
      <c r="E106" s="3" t="inlineStr">
        <is>
          <t xml:space="preserve">Core depth and the project starts</t>
        </is>
      </c>
      <c r="F106" s="3" t="inlineStr">
        <is>
          <t xml:space="preserve">Weekly test, review, project, stories</t>
        </is>
      </c>
      <c r="H106" s="3" t="inlineStr">
        <is>
          <t xml:space="preserve">Finish PROJECT M5. Run the tests from a clean checkout.</t>
        </is>
      </c>
      <c r="J106" s="3" t="inlineStr">
        <is>
          <t xml:space="preserve">Not started</t>
        </is>
      </c>
      <c r="M106" s="4">
        <f>HYPERLINK("WEEKS/WEEK_15.md","Week 15 · Day 105")</f>
      </c>
    </row>
    <row r="107">
      <c r="A107" s="3">
        <v>106</v>
      </c>
      <c r="B107" s="2">
        <f>START!$B$4+A107-1</f>
      </c>
      <c r="C107" s="3">
        <f>TEXT(B107,"ddd")</f>
      </c>
      <c r="D107" s="3">
        <v>16</v>
      </c>
      <c r="E107" s="3" t="inlineStr">
        <is>
          <t xml:space="preserve">Core depth and the project starts</t>
        </is>
      </c>
      <c r="F107" s="3" t="inlineStr">
        <is>
          <t xml:space="preserve">Monotonic stack</t>
        </is>
      </c>
      <c r="G107" s="3" t="inlineStr">
        <is>
          <t xml:space="preserve">Daily Temperatures, Next Greater Element I, Next Greater Element II</t>
        </is>
      </c>
      <c r="H107" s="3" t="inlineStr">
        <is>
          <t xml:space="preserve">Docker: images, containers, layers, multi-stage builds</t>
        </is>
      </c>
      <c r="I107" s="3" t="inlineStr">
        <is>
          <t xml:space="preserve">Why do multi-stage Docker builds matter?</t>
        </is>
      </c>
      <c r="J107" s="3" t="inlineStr">
        <is>
          <t xml:space="preserve">Not started</t>
        </is>
      </c>
      <c r="M107" s="4">
        <f>HYPERLINK("WEEKS/WEEK_16.md","Week 16 · Day 106")</f>
      </c>
    </row>
    <row r="108">
      <c r="A108" s="3">
        <v>107</v>
      </c>
      <c r="B108" s="2">
        <f>START!$B$4+A108-1</f>
      </c>
      <c r="C108" s="3">
        <f>TEXT(B108,"ddd")</f>
      </c>
      <c r="D108" s="3">
        <v>16</v>
      </c>
      <c r="E108" s="3" t="inlineStr">
        <is>
          <t xml:space="preserve">Core depth and the project starts</t>
        </is>
      </c>
      <c r="F108" s="3" t="inlineStr">
        <is>
          <t xml:space="preserve">Monotonic deque and histogram</t>
        </is>
      </c>
      <c r="G108" s="3" t="inlineStr">
        <is>
          <t xml:space="preserve">Sliding Window Maximum, Largest Rectangle in Histogram, Online Stock Span</t>
        </is>
      </c>
      <c r="H108" s="3" t="inlineStr">
        <is>
          <t xml:space="preserve">Docker Compose (networks, volumes, health checks) and Linux basics</t>
        </is>
      </c>
      <c r="I108" s="3" t="inlineStr">
        <is>
          <t xml:space="preserve">Why is 'localhost' inside a container not your machine?</t>
        </is>
      </c>
      <c r="J108" s="3" t="inlineStr">
        <is>
          <t xml:space="preserve">Not started</t>
        </is>
      </c>
      <c r="M108" s="4">
        <f>HYPERLINK("WEEKS/WEEK_16.md","Week 16 · Day 107")</f>
      </c>
    </row>
    <row r="109">
      <c r="A109" s="3">
        <v>108</v>
      </c>
      <c r="B109" s="2">
        <f>START!$B$4+A109-1</f>
      </c>
      <c r="C109" s="3">
        <f>TEXT(B109,"ddd")</f>
      </c>
      <c r="D109" s="3">
        <v>16</v>
      </c>
      <c r="E109" s="3" t="inlineStr">
        <is>
          <t xml:space="preserve">Core depth and the project starts</t>
        </is>
      </c>
      <c r="F109" s="3" t="inlineStr">
        <is>
          <t xml:space="preserve">Tries</t>
        </is>
      </c>
      <c r="G109" s="3" t="inlineStr">
        <is>
          <t xml:space="preserve">Implement Trie (Prefix Tree), Design Add and Search Words Data Structure, Search Suggestions System</t>
        </is>
      </c>
      <c r="H109" s="3" t="inlineStr">
        <is>
          <t xml:space="preserve">Git workflow and CI: build, test, format, what each stage protects</t>
        </is>
      </c>
      <c r="I109" s="3" t="inlineStr">
        <is>
          <t xml:space="preserve">What does your CI pipeline protect against, stage by stage?</t>
        </is>
      </c>
      <c r="J109" s="3" t="inlineStr">
        <is>
          <t xml:space="preserve">Not started</t>
        </is>
      </c>
      <c r="M109" s="4">
        <f>HYPERLINK("WEEKS/WEEK_16.md","Week 16 · Day 108")</f>
      </c>
    </row>
    <row r="110">
      <c r="A110" s="3">
        <v>109</v>
      </c>
      <c r="B110" s="2">
        <f>START!$B$4+A110-1</f>
      </c>
      <c r="C110" s="3">
        <f>TEXT(B110,"ddd")</f>
      </c>
      <c r="D110" s="3">
        <v>16</v>
      </c>
      <c r="E110" s="3" t="inlineStr">
        <is>
          <t xml:space="preserve">Core depth and the project starts</t>
        </is>
      </c>
      <c r="F110" s="3" t="inlineStr">
        <is>
          <t xml:space="preserve">Bits</t>
        </is>
      </c>
      <c r="G110" s="3" t="inlineStr">
        <is>
          <t xml:space="preserve">Single Number, Number of 1 Bits, Counting Bits, Missing Number, Reverse Bits</t>
        </is>
      </c>
      <c r="H110" s="3" t="inlineStr">
        <is>
          <t xml:space="preserve">CD: environments, readiness vs liveness, safe migrations, rollback</t>
        </is>
      </c>
      <c r="I110" s="3" t="inlineStr">
        <is>
          <t xml:space="preserve">Liveness or readiness — what is the difference and why does it matter?</t>
        </is>
      </c>
      <c r="J110" s="3" t="inlineStr">
        <is>
          <t xml:space="preserve">Not started</t>
        </is>
      </c>
      <c r="M110" s="4">
        <f>HYPERLINK("WEEKS/WEEK_16.md","Week 16 · Day 109")</f>
      </c>
    </row>
    <row r="111">
      <c r="A111" s="3">
        <v>110</v>
      </c>
      <c r="B111" s="2">
        <f>START!$B$4+A111-1</f>
      </c>
      <c r="C111" s="3">
        <f>TEXT(B111,"ddd")</f>
      </c>
      <c r="D111" s="3">
        <v>16</v>
      </c>
      <c r="E111" s="3" t="inlineStr">
        <is>
          <t xml:space="preserve">Core depth and the project starts</t>
        </is>
      </c>
      <c r="F111" s="3" t="inlineStr">
        <is>
          <t xml:space="preserve">Repair and retrieval</t>
        </is>
      </c>
      <c r="G111" s="3" t="inlineStr">
        <is>
          <t xml:space="preserve">re-solves + Remove K Digits</t>
        </is>
      </c>
      <c r="H111" s="3" t="inlineStr">
        <is>
          <t xml:space="preserve">re-explain the week</t>
        </is>
      </c>
      <c r="J111" s="3" t="inlineStr">
        <is>
          <t xml:space="preserve">Not started</t>
        </is>
      </c>
      <c r="M111" s="4">
        <f>HYPERLINK("WEEKS/WEEK_16.md","Week 16 · Day 110")</f>
      </c>
    </row>
    <row r="112">
      <c r="A112" s="3">
        <v>111</v>
      </c>
      <c r="B112" s="2">
        <f>START!$B$4+A112-1</f>
      </c>
      <c r="C112" s="3">
        <f>TEXT(B112,"ddd")</f>
      </c>
      <c r="D112" s="3">
        <v>16</v>
      </c>
      <c r="E112" s="3" t="inlineStr">
        <is>
          <t xml:space="preserve">Core depth and the project starts</t>
        </is>
      </c>
      <c r="F112" s="3" t="inlineStr">
        <is>
          <t xml:space="preserve">Deep work: DSA + design + lab/project</t>
        </is>
      </c>
      <c r="G112" s="3" t="inlineStr">
        <is>
          <t xml:space="preserve">Trapping Rain Water, Word Search II, Sum of Two Integers, Single Number III</t>
        </is>
      </c>
      <c r="H112" s="3" t="inlineStr">
        <is>
          <t xml:space="preserve">LLD: seat reservation (BookMyShow) — shows, seats, a 10-minute hold, concurrent requests for the same seat, payment time</t>
        </is>
      </c>
      <c r="J112" s="3" t="inlineStr">
        <is>
          <t xml:space="preserve">Not started</t>
        </is>
      </c>
      <c r="M112" s="4">
        <f>HYPERLINK("WEEKS/WEEK_16.md","Week 16 · Day 111")</f>
      </c>
    </row>
    <row r="113">
      <c r="A113" s="3">
        <v>112</v>
      </c>
      <c r="B113" s="2">
        <f>START!$B$4+A113-1</f>
      </c>
      <c r="C113" s="3">
        <f>TEXT(B113,"ddd")</f>
      </c>
      <c r="D113" s="3">
        <v>16</v>
      </c>
      <c r="E113" s="3" t="inlineStr">
        <is>
          <t xml:space="preserve">Core depth and the project starts</t>
        </is>
      </c>
      <c r="F113" s="3" t="inlineStr">
        <is>
          <t xml:space="preserve">Month 4 checkpoint</t>
        </is>
      </c>
      <c r="H113" s="3" t="inlineStr">
        <is>
          <t xml:space="preserve">Month 4 test (see checkpoint). Then a 5-minute project walkthrough recorded on video or audio.</t>
        </is>
      </c>
      <c r="J113" s="3" t="inlineStr">
        <is>
          <t xml:space="preserve">Not started</t>
        </is>
      </c>
      <c r="M113" s="4">
        <f>HYPERLINK("WEEKS/WEEK_16.md","Week 16 · Day 112")</f>
      </c>
    </row>
    <row r="114">
      <c r="A114" s="3">
        <v>113</v>
      </c>
      <c r="B114" s="2">
        <f>START!$B$4+A114-1</f>
      </c>
      <c r="C114" s="3">
        <f>TEXT(B114,"ddd")</f>
      </c>
      <c r="D114" s="3">
        <v>17</v>
      </c>
      <c r="E114" s="3" t="inlineStr">
        <is>
          <t xml:space="preserve">Project completion and design depth (Wee</t>
        </is>
      </c>
      <c r="F114" s="3" t="inlineStr">
        <is>
          <t xml:space="preserve">Mixed array and window selection</t>
        </is>
      </c>
      <c r="G114" s="3" t="inlineStr">
        <is>
          <t xml:space="preserve">Minimum Window Substring, Find All Anagrams in a String</t>
        </is>
      </c>
      <c r="H114" s="3" t="inlineStr">
        <is>
          <t xml:space="preserve">Failure models, partitions, split brain, 2PC, Raft leader election</t>
        </is>
      </c>
      <c r="I114" s="3" t="inlineStr">
        <is>
          <t xml:space="preserve">Why is two-phase commit avoided across services?</t>
        </is>
      </c>
      <c r="J114" s="3" t="inlineStr">
        <is>
          <t xml:space="preserve">Not started</t>
        </is>
      </c>
      <c r="M114" s="4">
        <f>HYPERLINK("WEEKS/WEEK_17.md","Week 17 · Day 113")</f>
      </c>
    </row>
    <row r="115">
      <c r="A115" s="3">
        <v>114</v>
      </c>
      <c r="B115" s="2">
        <f>START!$B$4+A115-1</f>
      </c>
      <c r="C115" s="3">
        <f>TEXT(B115,"ddd")</f>
      </c>
      <c r="D115" s="3">
        <v>17</v>
      </c>
      <c r="E115" s="3" t="inlineStr">
        <is>
          <t xml:space="preserve">Project completion and design depth (Wee</t>
        </is>
      </c>
      <c r="F115" s="3" t="inlineStr">
        <is>
          <t xml:space="preserve">Mixed graph and tree selection</t>
        </is>
      </c>
      <c r="G115" s="3" t="inlineStr">
        <is>
          <t xml:space="preserve">Copy List with Random Pointer, Shortest Path in Binary Matrix</t>
        </is>
      </c>
      <c r="H115" s="3" t="inlineStr">
        <is>
          <t xml:space="preserve">Distributed locks, leases, fencing tokens, clocks (Lamport, vector, skew, monotonic)</t>
        </is>
      </c>
      <c r="I115" s="3" t="inlineStr">
        <is>
          <t xml:space="preserve">Why can a distributed lock not be made safe with timeouts alone?</t>
        </is>
      </c>
      <c r="J115" s="3" t="inlineStr">
        <is>
          <t xml:space="preserve">Not started</t>
        </is>
      </c>
      <c r="M115" s="4">
        <f>HYPERLINK("WEEKS/WEEK_17.md","Week 17 · Day 114")</f>
      </c>
    </row>
    <row r="116">
      <c r="A116" s="3">
        <v>115</v>
      </c>
      <c r="B116" s="2">
        <f>START!$B$4+A116-1</f>
      </c>
      <c r="C116" s="3">
        <f>TEXT(B116,"ddd")</f>
      </c>
      <c r="D116" s="3">
        <v>17</v>
      </c>
      <c r="E116" s="3" t="inlineStr">
        <is>
          <t xml:space="preserve">Project completion and design depth (Wee</t>
        </is>
      </c>
      <c r="F116" s="3" t="inlineStr">
        <is>
          <t xml:space="preserve">DP state repair</t>
        </is>
      </c>
      <c r="G116" s="3" t="inlineStr">
        <is>
          <t xml:space="preserve">Number of Longest Increasing Subsequence, Longest Common Subsequence</t>
        </is>
      </c>
      <c r="H116" s="3" t="inlineStr">
        <is>
          <t xml:space="preserve">The dual-write problem, sagas (choreography vs orchestration), compensation</t>
        </is>
      </c>
      <c r="I116" s="3" t="inlineStr">
        <is>
          <t xml:space="preserve">Choreography or orchestration for a saga?</t>
        </is>
      </c>
      <c r="J116" s="3" t="inlineStr">
        <is>
          <t xml:space="preserve">Not started</t>
        </is>
      </c>
      <c r="M116" s="4">
        <f>HYPERLINK("WEEKS/WEEK_17.md","Week 17 · Day 115")</f>
      </c>
    </row>
    <row r="117">
      <c r="A117" s="3">
        <v>116</v>
      </c>
      <c r="B117" s="2">
        <f>START!$B$4+A117-1</f>
      </c>
      <c r="C117" s="3">
        <f>TEXT(B117,"ddd")</f>
      </c>
      <c r="D117" s="3">
        <v>17</v>
      </c>
      <c r="E117" s="3" t="inlineStr">
        <is>
          <t xml:space="preserve">Project completion and design depth (Wee</t>
        </is>
      </c>
      <c r="F117" s="3" t="inlineStr">
        <is>
          <t xml:space="preserve">Changed constraints</t>
        </is>
      </c>
      <c r="G117" s="3" t="inlineStr">
        <is>
          <t xml:space="preserve">Kth Largest Element in a Stream, Find Median from Data Stream</t>
        </is>
      </c>
      <c r="H117" s="3" t="inlineStr">
        <is>
          <t xml:space="preserve">Circuit breakers, bulkheads, retry storms, backoff with jitter, load shedding, admission control</t>
        </is>
      </c>
      <c r="I117" s="3" t="inlineStr">
        <is>
          <t xml:space="preserve">Explain circuit-breaker states and why retries alone amplify an outage.</t>
        </is>
      </c>
      <c r="J117" s="3" t="inlineStr">
        <is>
          <t xml:space="preserve">Not started</t>
        </is>
      </c>
      <c r="M117" s="4">
        <f>HYPERLINK("WEEKS/WEEK_17.md","Week 17 · Day 116")</f>
      </c>
    </row>
    <row r="118">
      <c r="A118" s="3">
        <v>117</v>
      </c>
      <c r="B118" s="2">
        <f>START!$B$4+A118-1</f>
      </c>
      <c r="C118" s="3">
        <f>TEXT(B118,"ddd")</f>
      </c>
      <c r="D118" s="3">
        <v>17</v>
      </c>
      <c r="E118" s="3" t="inlineStr">
        <is>
          <t xml:space="preserve">Project completion and design depth (Wee</t>
        </is>
      </c>
      <c r="F118" s="3" t="inlineStr">
        <is>
          <t xml:space="preserve">Repair and retrieval</t>
        </is>
      </c>
      <c r="G118" s="3" t="inlineStr">
        <is>
          <t xml:space="preserve">re-solves + Fruit Into Baskets</t>
        </is>
      </c>
      <c r="H118" s="3" t="inlineStr">
        <is>
          <t xml:space="preserve">re-explain the week</t>
        </is>
      </c>
      <c r="J118" s="3" t="inlineStr">
        <is>
          <t xml:space="preserve">Not started</t>
        </is>
      </c>
      <c r="M118" s="4">
        <f>HYPERLINK("WEEKS/WEEK_17.md","Week 17 · Day 117")</f>
      </c>
    </row>
    <row r="119">
      <c r="A119" s="3">
        <v>118</v>
      </c>
      <c r="B119" s="2">
        <f>START!$B$4+A119-1</f>
      </c>
      <c r="C119" s="3">
        <f>TEXT(B119,"ddd")</f>
      </c>
      <c r="D119" s="3">
        <v>17</v>
      </c>
      <c r="E119" s="3" t="inlineStr">
        <is>
          <t xml:space="preserve">Project completion and design depth (Wee</t>
        </is>
      </c>
      <c r="F119" s="3" t="inlineStr">
        <is>
          <t xml:space="preserve">Deep work: DSA + design + lab/project</t>
        </is>
      </c>
      <c r="G119" s="3" t="inlineStr">
        <is>
          <t xml:space="preserve">Rotate Image, Spiral Matrix, Set Matrix Zeroes, Valid Sudoku</t>
        </is>
      </c>
      <c r="H119" s="3" t="inlineStr">
        <is>
          <t xml:space="preserve">Chat (WhatsApp/Slack) HLD: connections and gateways, message ordering per conversation, offline delivery, presence, grou</t>
        </is>
      </c>
      <c r="J119" s="3" t="inlineStr">
        <is>
          <t xml:space="preserve">Not started</t>
        </is>
      </c>
      <c r="M119" s="4">
        <f>HYPERLINK("WEEKS/WEEK_17.md","Week 17 · Day 118")</f>
      </c>
    </row>
    <row r="120">
      <c r="A120" s="3">
        <v>119</v>
      </c>
      <c r="B120" s="2">
        <f>START!$B$4+A120-1</f>
      </c>
      <c r="C120" s="3">
        <f>TEXT(B120,"ddd")</f>
      </c>
      <c r="D120" s="3">
        <v>17</v>
      </c>
      <c r="E120" s="3" t="inlineStr">
        <is>
          <t xml:space="preserve">Project completion and design depth (Wee</t>
        </is>
      </c>
      <c r="F120" s="3" t="inlineStr">
        <is>
          <t xml:space="preserve">Weekly test, review, project, stories</t>
        </is>
      </c>
      <c r="H120" s="3" t="inlineStr">
        <is>
          <t xml:space="preserve">Write the failure-modes table for the project from what you OBSERVED (not what you expect).</t>
        </is>
      </c>
      <c r="J120" s="3" t="inlineStr">
        <is>
          <t xml:space="preserve">Not started</t>
        </is>
      </c>
      <c r="M120" s="4">
        <f>HYPERLINK("WEEKS/WEEK_17.md","Week 17 · Day 119")</f>
      </c>
    </row>
    <row r="121">
      <c r="A121" s="3">
        <v>120</v>
      </c>
      <c r="B121" s="2">
        <f>START!$B$4+A121-1</f>
      </c>
      <c r="C121" s="3">
        <f>TEXT(B121,"ddd")</f>
      </c>
      <c r="D121" s="3">
        <v>18</v>
      </c>
      <c r="E121" s="3" t="inlineStr">
        <is>
          <t xml:space="preserve">Project completion and design depth (Wee</t>
        </is>
      </c>
      <c r="F121" s="3" t="inlineStr">
        <is>
          <t xml:space="preserve">Coding mock one</t>
        </is>
      </c>
      <c r="G121" s="3" t="inlineStr">
        <is>
          <t xml:space="preserve">Time Based Key-Value Store, Find Peak Element</t>
        </is>
      </c>
      <c r="H121" s="3" t="inlineStr">
        <is>
          <t xml:space="preserve">Logs, metrics, traces; RED/USE; correlation IDs; OpenTelemetry in .NET</t>
        </is>
      </c>
      <c r="I121" s="3" t="inlineStr">
        <is>
          <t xml:space="preserve">What are RED and USE?</t>
        </is>
      </c>
      <c r="J121" s="3" t="inlineStr">
        <is>
          <t xml:space="preserve">Not started</t>
        </is>
      </c>
      <c r="M121" s="4">
        <f>HYPERLINK("WEEKS/WEEK_18.md","Week 18 · Day 120")</f>
      </c>
    </row>
    <row r="122">
      <c r="A122" s="3">
        <v>121</v>
      </c>
      <c r="B122" s="2">
        <f>START!$B$4+A122-1</f>
      </c>
      <c r="C122" s="3">
        <f>TEXT(B122,"ddd")</f>
      </c>
      <c r="D122" s="3">
        <v>18</v>
      </c>
      <c r="E122" s="3" t="inlineStr">
        <is>
          <t xml:space="preserve">Project completion and design depth (Wee</t>
        </is>
      </c>
      <c r="F122" s="3" t="inlineStr">
        <is>
          <t xml:space="preserve">Mock repair</t>
        </is>
      </c>
      <c r="G122" s="3" t="inlineStr">
        <is>
          <t xml:space="preserve">Search a 2D Matrix II, Kth Smallest Element in a Sorted Matrix</t>
        </is>
      </c>
      <c r="H122" s="3" t="inlineStr">
        <is>
          <t xml:space="preserve">SLIs, SLOs, error budgets; p50/p95/p99</t>
        </is>
      </c>
      <c r="I122" s="3" t="inlineStr">
        <is>
          <t xml:space="preserve">What do p50, p95 and p99 tell you, and why not the average?</t>
        </is>
      </c>
      <c r="J122" s="3" t="inlineStr">
        <is>
          <t xml:space="preserve">Not started</t>
        </is>
      </c>
      <c r="M122" s="4">
        <f>HYPERLINK("WEEKS/WEEK_18.md","Week 18 · Day 121")</f>
      </c>
    </row>
    <row r="123">
      <c r="A123" s="3">
        <v>122</v>
      </c>
      <c r="B123" s="2">
        <f>START!$B$4+A123-1</f>
      </c>
      <c r="C123" s="3">
        <f>TEXT(B123,"ddd")</f>
      </c>
      <c r="D123" s="3">
        <v>18</v>
      </c>
      <c r="E123" s="3" t="inlineStr">
        <is>
          <t xml:space="preserve">Project completion and design depth (Wee</t>
        </is>
      </c>
      <c r="F123" s="3" t="inlineStr">
        <is>
          <t xml:space="preserve">Coding mock two</t>
        </is>
      </c>
      <c r="G123" s="3" t="inlineStr">
        <is>
          <t xml:space="preserve">Binary Tree Zigzag Level Order Traversal, Populating Next Right Pointers in Each Node</t>
        </is>
      </c>
      <c r="H123" s="3" t="inlineStr">
        <is>
          <t xml:space="preserve">Cloud basics on AWS (compute, RDS, Amazon MQ/SQS, S3, IAM, VPC, cost); Kubernetes overview</t>
        </is>
      </c>
      <c r="I123" s="3" t="inlineStr">
        <is>
          <t xml:space="preserve">What does least privilege mean in IAM?</t>
        </is>
      </c>
      <c r="J123" s="3" t="inlineStr">
        <is>
          <t xml:space="preserve">Not started</t>
        </is>
      </c>
      <c r="M123" s="4">
        <f>HYPERLINK("WEEKS/WEEK_18.md","Week 18 · Day 122")</f>
      </c>
    </row>
    <row r="124">
      <c r="A124" s="3">
        <v>123</v>
      </c>
      <c r="B124" s="2">
        <f>START!$B$4+A124-1</f>
      </c>
      <c r="C124" s="3">
        <f>TEXT(B124,"ddd")</f>
      </c>
      <c r="D124" s="3">
        <v>18</v>
      </c>
      <c r="E124" s="3" t="inlineStr">
        <is>
          <t xml:space="preserve">Project completion and design depth (Wee</t>
        </is>
      </c>
      <c r="F124" s="3" t="inlineStr">
        <is>
          <t xml:space="preserve">Code comprehension</t>
        </is>
      </c>
      <c r="G124" s="3" t="inlineStr">
        <is>
          <t xml:space="preserve">Sum Root to Leaf Numbers</t>
        </is>
      </c>
      <c r="H124" s="3" t="inlineStr">
        <is>
          <t xml:space="preserve">Finding bottlenecks under load; tenant fairness</t>
        </is>
      </c>
      <c r="I124" s="3" t="inlineStr">
        <is>
          <t xml:space="preserve">How do you stop one tenant starving the others?</t>
        </is>
      </c>
      <c r="J124" s="3" t="inlineStr">
        <is>
          <t xml:space="preserve">Not started</t>
        </is>
      </c>
      <c r="M124" s="4">
        <f>HYPERLINK("WEEKS/WEEK_18.md","Week 18 · Day 123")</f>
      </c>
    </row>
    <row r="125">
      <c r="A125" s="3">
        <v>124</v>
      </c>
      <c r="B125" s="2">
        <f>START!$B$4+A125-1</f>
      </c>
      <c r="C125" s="3">
        <f>TEXT(B125,"ddd")</f>
      </c>
      <c r="D125" s="3">
        <v>18</v>
      </c>
      <c r="E125" s="3" t="inlineStr">
        <is>
          <t xml:space="preserve">Project completion and design depth (Wee</t>
        </is>
      </c>
      <c r="F125" s="3" t="inlineStr">
        <is>
          <t xml:space="preserve">Repair and retrieval</t>
        </is>
      </c>
      <c r="G125" s="3" t="inlineStr">
        <is>
          <t xml:space="preserve">re-solves + Flatten Binary Tree to Linked List</t>
        </is>
      </c>
      <c r="H125" s="3" t="inlineStr">
        <is>
          <t xml:space="preserve">re-explain the week</t>
        </is>
      </c>
      <c r="J125" s="3" t="inlineStr">
        <is>
          <t xml:space="preserve">Not started</t>
        </is>
      </c>
      <c r="M125" s="4">
        <f>HYPERLINK("WEEKS/WEEK_18.md","Week 18 · Day 124")</f>
      </c>
    </row>
    <row r="126">
      <c r="A126" s="3">
        <v>125</v>
      </c>
      <c r="B126" s="2">
        <f>START!$B$4+A126-1</f>
      </c>
      <c r="C126" s="3">
        <f>TEXT(B126,"ddd")</f>
      </c>
      <c r="D126" s="3">
        <v>18</v>
      </c>
      <c r="E126" s="3" t="inlineStr">
        <is>
          <t xml:space="preserve">Project completion and design depth (Wee</t>
        </is>
      </c>
      <c r="F126" s="3" t="inlineStr">
        <is>
          <t xml:space="preserve">Deep work: DSA + design + lab/project</t>
        </is>
      </c>
      <c r="G126" s="3" t="inlineStr">
        <is>
          <t xml:space="preserve">Reverse Nodes in k-Group, Kth Smallest Element in a BST, Path Sum II</t>
        </is>
      </c>
      <c r="H126" s="3" t="inlineStr">
        <is>
          <t xml:space="preserve">News feed HLD: fan-out on write vs read, the celebrity problem, ranking, cursor pagination, caching.</t>
        </is>
      </c>
      <c r="J126" s="3" t="inlineStr">
        <is>
          <t xml:space="preserve">Not started</t>
        </is>
      </c>
      <c r="M126" s="4">
        <f>HYPERLINK("WEEKS/WEEK_18.md","Week 18 · Day 125")</f>
      </c>
    </row>
    <row r="127">
      <c r="A127" s="3">
        <v>126</v>
      </c>
      <c r="B127" s="2">
        <f>START!$B$4+A127-1</f>
      </c>
      <c r="C127" s="3">
        <f>TEXT(B127,"ddd")</f>
      </c>
      <c r="D127" s="3">
        <v>18</v>
      </c>
      <c r="E127" s="3" t="inlineStr">
        <is>
          <t xml:space="preserve">Project completion and design depth (Wee</t>
        </is>
      </c>
      <c r="F127" s="3" t="inlineStr">
        <is>
          <t xml:space="preserve">Weekly test, review, project, stories</t>
        </is>
      </c>
      <c r="H127" s="3" t="inlineStr">
        <is>
          <t xml:space="preserve">Trace one job end to end and screenshot it for the README. Tear down any cloud resources you do not need.</t>
        </is>
      </c>
      <c r="J127" s="3" t="inlineStr">
        <is>
          <t xml:space="preserve">Not started</t>
        </is>
      </c>
      <c r="M127" s="4">
        <f>HYPERLINK("WEEKS/WEEK_18.md","Week 18 · Day 126")</f>
      </c>
    </row>
    <row r="128">
      <c r="A128" s="3">
        <v>127</v>
      </c>
      <c r="B128" s="2">
        <f>START!$B$4+A128-1</f>
      </c>
      <c r="C128" s="3">
        <f>TEXT(B128,"ddd")</f>
      </c>
      <c r="D128" s="3">
        <v>19</v>
      </c>
      <c r="E128" s="3" t="inlineStr">
        <is>
          <t xml:space="preserve">Project completion and design depth (Wee</t>
        </is>
      </c>
      <c r="F128" s="3" t="inlineStr">
        <is>
          <t xml:space="preserve">Binary-search follow-ups</t>
        </is>
      </c>
      <c r="G128" s="3" t="inlineStr">
        <is>
          <t xml:space="preserve">Capacity To Ship Packages Within D Days, Split Array Largest Sum</t>
        </is>
      </c>
      <c r="H128" s="3" t="inlineStr">
        <is>
          <t xml:space="preserve">Load testing with k6: open vs closed models, offered load vs throughput, acceptance vs completion</t>
        </is>
      </c>
      <c r="I128" s="3" t="inlineStr">
        <is>
          <t xml:space="preserve">Why separate job acceptance latency from job completion time?</t>
        </is>
      </c>
      <c r="J128" s="3" t="inlineStr">
        <is>
          <t xml:space="preserve">Not started</t>
        </is>
      </c>
      <c r="M128" s="4">
        <f>HYPERLINK("WEEKS/WEEK_19.md","Week 19 · Day 127")</f>
      </c>
    </row>
    <row r="129">
      <c r="A129" s="3">
        <v>128</v>
      </c>
      <c r="B129" s="2">
        <f>START!$B$4+A129-1</f>
      </c>
      <c r="C129" s="3">
        <f>TEXT(B129,"ddd")</f>
      </c>
      <c r="D129" s="3">
        <v>19</v>
      </c>
      <c r="E129" s="3" t="inlineStr">
        <is>
          <t xml:space="preserve">Project completion and design depth (Wee</t>
        </is>
      </c>
      <c r="F129" s="3" t="inlineStr">
        <is>
          <t xml:space="preserve">Tree follow-ups</t>
        </is>
      </c>
      <c r="G129" s="3" t="inlineStr">
        <is>
          <t xml:space="preserve">Serialize and Deserialize Binary Tree, Binary Tree Maximum Path Sum</t>
        </is>
      </c>
      <c r="H129" s="3" t="inlineStr">
        <is>
          <t xml:space="preserve">Diagnostics: dotnet-counters, traces, dumps; incident diagnosis from evidence</t>
        </is>
      </c>
      <c r="I129" s="3" t="inlineStr">
        <is>
          <t xml:space="preserve">A latency spike with low CPU — what do you check first?</t>
        </is>
      </c>
      <c r="J129" s="3" t="inlineStr">
        <is>
          <t xml:space="preserve">Not started</t>
        </is>
      </c>
      <c r="M129" s="4">
        <f>HYPERLINK("WEEKS/WEEK_19.md","Week 19 · Day 128")</f>
      </c>
    </row>
    <row r="130">
      <c r="A130" s="3">
        <v>129</v>
      </c>
      <c r="B130" s="2">
        <f>START!$B$4+A130-1</f>
      </c>
      <c r="C130" s="3">
        <f>TEXT(B130,"ddd")</f>
      </c>
      <c r="D130" s="3">
        <v>19</v>
      </c>
      <c r="E130" s="3" t="inlineStr">
        <is>
          <t xml:space="preserve">Project completion and design depth (Wee</t>
        </is>
      </c>
      <c r="F130" s="3" t="inlineStr">
        <is>
          <t xml:space="preserve">Graph follow-ups</t>
        </is>
      </c>
      <c r="G130" s="3" t="inlineStr">
        <is>
          <t xml:space="preserve">Swim in Rising Water, Evaluate Division</t>
        </is>
      </c>
      <c r="H130" s="3" t="inlineStr">
        <is>
          <t xml:space="preserve">Backup and restore, RPO/RTO, rollback; runbooks</t>
        </is>
      </c>
      <c r="I130" s="3" t="inlineStr">
        <is>
          <t xml:space="preserve">What are RPO and RTO?</t>
        </is>
      </c>
      <c r="J130" s="3" t="inlineStr">
        <is>
          <t xml:space="preserve">Not started</t>
        </is>
      </c>
      <c r="M130" s="4">
        <f>HYPERLINK("WEEKS/WEEK_19.md","Week 19 · Day 129")</f>
      </c>
    </row>
    <row r="131">
      <c r="A131" s="3">
        <v>130</v>
      </c>
      <c r="B131" s="2">
        <f>START!$B$4+A131-1</f>
      </c>
      <c r="C131" s="3">
        <f>TEXT(B131,"ddd")</f>
      </c>
      <c r="D131" s="3">
        <v>19</v>
      </c>
      <c r="E131" s="3" t="inlineStr">
        <is>
          <t xml:space="preserve">Project completion and design depth (Wee</t>
        </is>
      </c>
      <c r="F131" s="3" t="inlineStr">
        <is>
          <t xml:space="preserve">Mixed checkpoint</t>
        </is>
      </c>
      <c r="G131" s="3" t="inlineStr">
        <is>
          <t xml:space="preserve">Longest Increasing Path in a Matrix, Path With Minimum Effort</t>
        </is>
      </c>
      <c r="H131" s="3" t="inlineStr">
        <is>
          <t xml:space="preserve">Project defense: why a queue, worker death, bottleneck, unhandled failure</t>
        </is>
      </c>
      <c r="I131" s="3" t="inlineStr">
        <is>
          <t xml:space="preserve">Walk me through exactly what happens when a worker dies mid-job.</t>
        </is>
      </c>
      <c r="J131" s="3" t="inlineStr">
        <is>
          <t xml:space="preserve">Not started</t>
        </is>
      </c>
      <c r="M131" s="4">
        <f>HYPERLINK("WEEKS/WEEK_19.md","Week 19 · Day 130")</f>
      </c>
    </row>
    <row r="132">
      <c r="A132" s="3">
        <v>131</v>
      </c>
      <c r="B132" s="2">
        <f>START!$B$4+A132-1</f>
      </c>
      <c r="C132" s="3">
        <f>TEXT(B132,"ddd")</f>
      </c>
      <c r="D132" s="3">
        <v>19</v>
      </c>
      <c r="E132" s="3" t="inlineStr">
        <is>
          <t xml:space="preserve">Project completion and design depth (Wee</t>
        </is>
      </c>
      <c r="F132" s="3" t="inlineStr">
        <is>
          <t xml:space="preserve">Repair and retrieval</t>
        </is>
      </c>
      <c r="G132" s="3" t="inlineStr">
        <is>
          <t xml:space="preserve">re-solves + Minimum Height Trees</t>
        </is>
      </c>
      <c r="H132" s="3" t="inlineStr">
        <is>
          <t xml:space="preserve">re-explain the week</t>
        </is>
      </c>
      <c r="J132" s="3" t="inlineStr">
        <is>
          <t xml:space="preserve">Not started</t>
        </is>
      </c>
      <c r="M132" s="4">
        <f>HYPERLINK("WEEKS/WEEK_19.md","Week 19 · Day 131")</f>
      </c>
    </row>
    <row r="133">
      <c r="A133" s="3">
        <v>132</v>
      </c>
      <c r="B133" s="2">
        <f>START!$B$4+A133-1</f>
      </c>
      <c r="C133" s="3">
        <f>TEXT(B133,"ddd")</f>
      </c>
      <c r="D133" s="3">
        <v>19</v>
      </c>
      <c r="E133" s="3" t="inlineStr">
        <is>
          <t xml:space="preserve">Project completion and design depth (Wee</t>
        </is>
      </c>
      <c r="F133" s="3" t="inlineStr">
        <is>
          <t xml:space="preserve">Deep work: DSA + design + lab/project</t>
        </is>
      </c>
      <c r="G133" s="3" t="inlineStr">
        <is>
          <t xml:space="preserve">Critical Connections in a Network, Find the City With the Smallest Number of Neighbors at a Threshold Distance, Implement Bellman-Ford with negative-cycle detection, Longest Increasing Path in a Matrix</t>
        </is>
      </c>
      <c r="H133" s="3" t="inlineStr">
        <is>
          <t xml:space="preserve">Ticket / hotel booking HLD: inventory invariant, holds with expiry, payment timeout and reconciliation, no double bookin</t>
        </is>
      </c>
      <c r="J133" s="3" t="inlineStr">
        <is>
          <t xml:space="preserve">Not started</t>
        </is>
      </c>
      <c r="M133" s="4">
        <f>HYPERLINK("WEEKS/WEEK_19.md","Week 19 · Day 132")</f>
      </c>
    </row>
    <row r="134">
      <c r="A134" s="3">
        <v>133</v>
      </c>
      <c r="B134" s="2">
        <f>START!$B$4+A134-1</f>
      </c>
      <c r="C134" s="3">
        <f>TEXT(B134,"ddd")</f>
      </c>
      <c r="D134" s="3">
        <v>19</v>
      </c>
      <c r="E134" s="3" t="inlineStr">
        <is>
          <t xml:space="preserve">Project completion and design depth (Wee</t>
        </is>
      </c>
      <c r="F134" s="3" t="inlineStr">
        <is>
          <t xml:space="preserve">Weekly test, review, project, stories</t>
        </is>
      </c>
      <c r="H134" s="3" t="inlineStr">
        <is>
          <t xml:space="preserve">Finish the benchmark report; mark every number with how it was measured.</t>
        </is>
      </c>
      <c r="J134" s="3" t="inlineStr">
        <is>
          <t xml:space="preserve">Not started</t>
        </is>
      </c>
      <c r="M134" s="4">
        <f>HYPERLINK("WEEKS/WEEK_19.md","Week 19 · Day 133")</f>
      </c>
    </row>
    <row r="135">
      <c r="A135" s="3">
        <v>134</v>
      </c>
      <c r="B135" s="2">
        <f>START!$B$4+A135-1</f>
      </c>
      <c r="C135" s="3">
        <f>TEXT(B135,"ddd")</f>
      </c>
      <c r="D135" s="3">
        <v>20</v>
      </c>
      <c r="E135" s="3" t="inlineStr">
        <is>
          <t xml:space="preserve">Project completion and design depth (Wee</t>
        </is>
      </c>
      <c r="F135" s="3" t="inlineStr">
        <is>
          <t xml:space="preserve">Independent coding round</t>
        </is>
      </c>
      <c r="G135" s="3" t="inlineStr">
        <is>
          <t xml:space="preserve">Asteroid Collision, Car Fleet</t>
        </is>
      </c>
      <c r="H135" s="3" t="inlineStr">
        <is>
          <t xml:space="preserve">The design framework: the nine steps, the 45-minute budget, estimation numbers</t>
        </is>
      </c>
      <c r="I135" s="3" t="inlineStr">
        <is>
          <t xml:space="preserve">What are the design steps, in order?</t>
        </is>
      </c>
      <c r="J135" s="3" t="inlineStr">
        <is>
          <t xml:space="preserve">Not started</t>
        </is>
      </c>
      <c r="M135" s="4">
        <f>HYPERLINK("WEEKS/WEEK_20.md","Week 20 · Day 134")</f>
      </c>
    </row>
    <row r="136">
      <c r="A136" s="3">
        <v>135</v>
      </c>
      <c r="B136" s="2">
        <f>START!$B$4+A136-1</f>
      </c>
      <c r="C136" s="3">
        <f>TEXT(B136,"ddd")</f>
      </c>
      <c r="D136" s="3">
        <v>20</v>
      </c>
      <c r="E136" s="3" t="inlineStr">
        <is>
          <t xml:space="preserve">Project completion and design depth (Wee</t>
        </is>
      </c>
      <c r="F136" s="3" t="inlineStr">
        <is>
          <t xml:space="preserve">Repair the highest-impact weakness</t>
        </is>
      </c>
      <c r="G136" s="3" t="inlineStr">
        <is>
          <t xml:space="preserve">Decode String, Basic Calculator II</t>
        </is>
      </c>
      <c r="H136" s="3" t="inlineStr">
        <is>
          <t xml:space="preserve">The classic designs and the one hard part of each</t>
        </is>
      </c>
      <c r="I136" s="3" t="inlineStr">
        <is>
          <t xml:space="preserve">Why are payment systems obsessed with idempotency?</t>
        </is>
      </c>
      <c r="J136" s="3" t="inlineStr">
        <is>
          <t xml:space="preserve">Not started</t>
        </is>
      </c>
      <c r="M136" s="4">
        <f>HYPERLINK("WEEKS/WEEK_20.md","Week 20 · Day 135")</f>
      </c>
    </row>
    <row r="137">
      <c r="A137" s="3">
        <v>136</v>
      </c>
      <c r="B137" s="2">
        <f>START!$B$4+A137-1</f>
      </c>
      <c r="C137" s="3">
        <f>TEXT(B137,"ddd")</f>
      </c>
      <c r="D137" s="3">
        <v>20</v>
      </c>
      <c r="E137" s="3" t="inlineStr">
        <is>
          <t xml:space="preserve">Project completion and design depth (Wee</t>
        </is>
      </c>
      <c r="F137" s="3" t="inlineStr">
        <is>
          <t xml:space="preserve">Two shorter tasks</t>
        </is>
      </c>
      <c r="G137" s="3" t="inlineStr">
        <is>
          <t xml:space="preserve">Insert Delete GetRandom O(1), Subarray Product Less Than K</t>
        </is>
      </c>
      <c r="H137" s="3" t="inlineStr">
        <is>
          <t xml:space="preserve">Behavioral structure: STAR, 'I' vs 'we', Have Backbone, Earn Trust</t>
        </is>
      </c>
      <c r="I137" s="3" t="inlineStr">
        <is>
          <t xml:space="preserve">Why does saying 'we' cost you the answer?</t>
        </is>
      </c>
      <c r="J137" s="3" t="inlineStr">
        <is>
          <t xml:space="preserve">Not started</t>
        </is>
      </c>
      <c r="M137" s="4">
        <f>HYPERLINK("WEEKS/WEEK_20.md","Week 20 · Day 136")</f>
      </c>
    </row>
    <row r="138">
      <c r="A138" s="3">
        <v>137</v>
      </c>
      <c r="B138" s="2">
        <f>START!$B$4+A138-1</f>
      </c>
      <c r="C138" s="3">
        <f>TEXT(B138,"ddd")</f>
      </c>
      <c r="D138" s="3">
        <v>20</v>
      </c>
      <c r="E138" s="3" t="inlineStr">
        <is>
          <t xml:space="preserve">Project completion and design depth (Wee</t>
        </is>
      </c>
      <c r="F138" s="3" t="inlineStr">
        <is>
          <t xml:space="preserve">Code review and extension</t>
        </is>
      </c>
      <c r="G138" s="3" t="inlineStr">
        <is>
          <t xml:space="preserve">Continuous Subarray Sum, Contiguous Array</t>
        </is>
      </c>
      <c r="H138" s="3" t="inlineStr">
        <is>
          <t xml:space="preserve">Behavioral follow-ups; quantifying honestly; the flagship story; resume truth check</t>
        </is>
      </c>
      <c r="I138" s="3" t="inlineStr">
        <is>
          <t xml:space="preserve">How do you answer 'what would you do differently?'</t>
        </is>
      </c>
      <c r="J138" s="3" t="inlineStr">
        <is>
          <t xml:space="preserve">Not started</t>
        </is>
      </c>
      <c r="M138" s="4">
        <f>HYPERLINK("WEEKS/WEEK_20.md","Week 20 · Day 137")</f>
      </c>
    </row>
    <row r="139">
      <c r="A139" s="3">
        <v>138</v>
      </c>
      <c r="B139" s="2">
        <f>START!$B$4+A139-1</f>
      </c>
      <c r="C139" s="3">
        <f>TEXT(B139,"ddd")</f>
      </c>
      <c r="D139" s="3">
        <v>20</v>
      </c>
      <c r="E139" s="3" t="inlineStr">
        <is>
          <t xml:space="preserve">Project completion and design depth (Wee</t>
        </is>
      </c>
      <c r="F139" s="3" t="inlineStr">
        <is>
          <t xml:space="preserve">Repair and retrieval</t>
        </is>
      </c>
      <c r="G139" s="3" t="inlineStr">
        <is>
          <t xml:space="preserve">re-solves + First Missing Positive</t>
        </is>
      </c>
      <c r="H139" s="3" t="inlineStr">
        <is>
          <t xml:space="preserve">re-explain the week</t>
        </is>
      </c>
      <c r="J139" s="3" t="inlineStr">
        <is>
          <t xml:space="preserve">Not started</t>
        </is>
      </c>
      <c r="M139" s="4">
        <f>HYPERLINK("WEEKS/WEEK_20.md","Week 20 · Day 138")</f>
      </c>
    </row>
    <row r="140">
      <c r="A140" s="3">
        <v>139</v>
      </c>
      <c r="B140" s="2">
        <f>START!$B$4+A140-1</f>
      </c>
      <c r="C140" s="3">
        <f>TEXT(B140,"ddd")</f>
      </c>
      <c r="D140" s="3">
        <v>20</v>
      </c>
      <c r="E140" s="3" t="inlineStr">
        <is>
          <t xml:space="preserve">Project completion and design depth (Wee</t>
        </is>
      </c>
      <c r="F140" s="3" t="inlineStr">
        <is>
          <t xml:space="preserve">Deep work: DSA + design + lab/project</t>
        </is>
      </c>
      <c r="G140" s="3" t="inlineStr">
        <is>
          <t xml:space="preserve">Next Permutation, Find the Duplicate Number, Majority Element, Rotate Array</t>
        </is>
      </c>
      <c r="H140" s="3" t="inlineStr">
        <is>
          <t xml:space="preserve">E-commerce checkout and inventory HLD (no overselling), then payment workflow HLD (idempotency keys, webhooks, reconcili</t>
        </is>
      </c>
      <c r="J140" s="3" t="inlineStr">
        <is>
          <t xml:space="preserve">Not started</t>
        </is>
      </c>
      <c r="M140" s="4">
        <f>HYPERLINK("WEEKS/WEEK_20.md","Week 20 · Day 139")</f>
      </c>
    </row>
    <row r="141">
      <c r="A141" s="3">
        <v>140</v>
      </c>
      <c r="B141" s="2">
        <f>START!$B$4+A141-1</f>
      </c>
      <c r="C141" s="3">
        <f>TEXT(B141,"ddd")</f>
      </c>
      <c r="D141" s="3">
        <v>20</v>
      </c>
      <c r="E141" s="3" t="inlineStr">
        <is>
          <t xml:space="preserve">Project completion and design depth (Wee</t>
        </is>
      </c>
      <c r="F141" s="3" t="inlineStr">
        <is>
          <t xml:space="preserve">Week 20 gate (Month 5)</t>
        </is>
      </c>
      <c r="H141" s="3" t="inlineStr">
        <is>
          <t xml:space="preserve">WEEK 20 GATE (see checkpoint). If several items are 'no', spend Weeks 21–22 repairing them before applying anywhere you </t>
        </is>
      </c>
      <c r="J141" s="3" t="inlineStr">
        <is>
          <t xml:space="preserve">Not started</t>
        </is>
      </c>
      <c r="M141" s="4">
        <f>HYPERLINK("WEEKS/WEEK_20.md","Week 20 · Day 140")</f>
      </c>
    </row>
    <row r="142">
      <c r="A142" s="3">
        <v>141</v>
      </c>
      <c r="B142" s="2">
        <f>START!$B$4+A142-1</f>
      </c>
      <c r="C142" s="3">
        <f>TEXT(B142,"ddd")</f>
      </c>
      <c r="D142" s="3">
        <v>21</v>
      </c>
      <c r="E142" s="3" t="inlineStr">
        <is>
          <t xml:space="preserve">Interview launch (Week 24 six-month asse</t>
        </is>
      </c>
      <c r="F142" s="3" t="inlineStr">
        <is>
          <t xml:space="preserve">Coding-round delivery</t>
        </is>
      </c>
      <c r="G142" s="3" t="inlineStr">
        <is>
          <t xml:space="preserve">Linked List Cycle II, Happy Number</t>
        </is>
      </c>
      <c r="H142" s="3" t="inlineStr">
        <is>
          <t xml:space="preserve">Coding-round script: the first five minutes, thinking aloud, getting unstuck, taking hints</t>
        </is>
      </c>
      <c r="I142" s="3" t="inlineStr">
        <is>
          <t xml:space="preserve">What do you do in the first five minutes of a coding round?</t>
        </is>
      </c>
      <c r="J142" s="3" t="inlineStr">
        <is>
          <t xml:space="preserve">Not started</t>
        </is>
      </c>
      <c r="M142" s="4">
        <f>HYPERLINK("WEEKS/WEEK_21.md","Week 21 · Day 141")</f>
      </c>
    </row>
    <row r="143">
      <c r="A143" s="3">
        <v>142</v>
      </c>
      <c r="B143" s="2">
        <f>START!$B$4+A143-1</f>
      </c>
      <c r="C143" s="3">
        <f>TEXT(B143,"ddd")</f>
      </c>
      <c r="D143" s="3">
        <v>21</v>
      </c>
      <c r="E143" s="3" t="inlineStr">
        <is>
          <t xml:space="preserve">Interview launch (Week 24 six-month asse</t>
        </is>
      </c>
      <c r="F143" s="3" t="inlineStr">
        <is>
          <t xml:space="preserve">LLD drill</t>
        </is>
      </c>
      <c r="G143" s="3" t="inlineStr">
        <is>
          <t xml:space="preserve">Odd Even Linked List, Intersection of Two Linked Lists</t>
        </is>
      </c>
      <c r="H143" s="3" t="inlineStr">
        <is>
          <t xml:space="preserve">LLD drill (40 minutes): vending machine — states, coins, inventory, refunds</t>
        </is>
      </c>
      <c r="I143" s="3" t="inlineStr">
        <is>
          <t xml:space="preserve">How do you approach a 45-minute LLD from a blank page?</t>
        </is>
      </c>
      <c r="J143" s="3" t="inlineStr">
        <is>
          <t xml:space="preserve">Not started</t>
        </is>
      </c>
      <c r="M143" s="4">
        <f>HYPERLINK("WEEKS/WEEK_21.md","Week 21 · Day 142")</f>
      </c>
    </row>
    <row r="144">
      <c r="A144" s="3">
        <v>143</v>
      </c>
      <c r="B144" s="2">
        <f>START!$B$4+A144-1</f>
      </c>
      <c r="C144" s="3">
        <f>TEXT(B144,"ddd")</f>
      </c>
      <c r="D144" s="3">
        <v>21</v>
      </c>
      <c r="E144" s="3" t="inlineStr">
        <is>
          <t xml:space="preserve">Interview launch (Week 24 six-month asse</t>
        </is>
      </c>
      <c r="F144" s="3" t="inlineStr">
        <is>
          <t xml:space="preserve">Design drill</t>
        </is>
      </c>
      <c r="G144" s="3" t="inlineStr">
        <is>
          <t xml:space="preserve">Minimum Remove to Make Valid Parentheses, Delete Node in a BST</t>
        </is>
      </c>
      <c r="H144" s="3" t="inlineStr">
        <is>
          <t xml:space="preserve">Design drill (40 minutes): web crawler — frontier, politeness, dedup, distribution</t>
        </is>
      </c>
      <c r="I144" s="3" t="inlineStr">
        <is>
          <t xml:space="preserve">How do you open a system design round?</t>
        </is>
      </c>
      <c r="J144" s="3" t="inlineStr">
        <is>
          <t xml:space="preserve">Not started</t>
        </is>
      </c>
      <c r="M144" s="4">
        <f>HYPERLINK("WEEKS/WEEK_21.md","Week 21 · Day 143")</f>
      </c>
    </row>
    <row r="145">
      <c r="A145" s="3">
        <v>144</v>
      </c>
      <c r="B145" s="2">
        <f>START!$B$4+A145-1</f>
      </c>
      <c r="C145" s="3">
        <f>TEXT(B145,"ddd")</f>
      </c>
      <c r="D145" s="3">
        <v>21</v>
      </c>
      <c r="E145" s="3" t="inlineStr">
        <is>
          <t xml:space="preserve">Interview launch (Week 24 six-month asse</t>
        </is>
      </c>
      <c r="F145" s="3" t="inlineStr">
        <is>
          <t xml:space="preserve">Applications and recruiters</t>
        </is>
      </c>
      <c r="G145" s="3" t="inlineStr">
        <is>
          <t xml:space="preserve">Open the Lock, Snakes and Ladders</t>
        </is>
      </c>
      <c r="H145" s="3" t="inlineStr">
        <is>
          <t xml:space="preserve">Applications: target list, referrals, recruiter questions, why mid-tier first</t>
        </is>
      </c>
      <c r="I145" s="3" t="inlineStr">
        <is>
          <t xml:space="preserve">Why apply to mid-tier companies first?</t>
        </is>
      </c>
      <c r="J145" s="3" t="inlineStr">
        <is>
          <t xml:space="preserve">Not started</t>
        </is>
      </c>
      <c r="M145" s="4">
        <f>HYPERLINK("WEEKS/WEEK_21.md","Week 21 · Day 144")</f>
      </c>
    </row>
    <row r="146">
      <c r="A146" s="3">
        <v>145</v>
      </c>
      <c r="B146" s="2">
        <f>START!$B$4+A146-1</f>
      </c>
      <c r="C146" s="3">
        <f>TEXT(B146,"ddd")</f>
      </c>
      <c r="D146" s="3">
        <v>21</v>
      </c>
      <c r="E146" s="3" t="inlineStr">
        <is>
          <t xml:space="preserve">Interview launch (Week 24 six-month asse</t>
        </is>
      </c>
      <c r="F146" s="3" t="inlineStr">
        <is>
          <t xml:space="preserve">Repair and retrieval</t>
        </is>
      </c>
      <c r="G146" s="3" t="inlineStr">
        <is>
          <t xml:space="preserve">re-solves + Last Stone Weight</t>
        </is>
      </c>
      <c r="H146" s="3" t="inlineStr">
        <is>
          <t xml:space="preserve">re-explain the week</t>
        </is>
      </c>
      <c r="J146" s="3" t="inlineStr">
        <is>
          <t xml:space="preserve">Not started</t>
        </is>
      </c>
      <c r="M146" s="4">
        <f>HYPERLINK("WEEKS/WEEK_21.md","Week 21 · Day 145")</f>
      </c>
    </row>
    <row r="147">
      <c r="A147" s="3">
        <v>146</v>
      </c>
      <c r="B147" s="2">
        <f>START!$B$4+A147-1</f>
      </c>
      <c r="C147" s="3">
        <f>TEXT(B147,"ddd")</f>
      </c>
      <c r="D147" s="3">
        <v>21</v>
      </c>
      <c r="E147" s="3" t="inlineStr">
        <is>
          <t xml:space="preserve">Interview launch (Week 24 six-month asse</t>
        </is>
      </c>
      <c r="F147" s="3" t="inlineStr">
        <is>
          <t xml:space="preserve">Deep work: DSA + design + lab/project</t>
        </is>
      </c>
      <c r="G147" s="3" t="inlineStr">
        <is>
          <t xml:space="preserve">Stock Price Fluctuation, Snapshot Array</t>
        </is>
      </c>
      <c r="H147" s="3" t="inlineStr">
        <is>
          <t xml:space="preserve">45-minute design mock on a practised anchor (URL shortener or notification) with a changed requirement.</t>
        </is>
      </c>
      <c r="J147" s="3" t="inlineStr">
        <is>
          <t xml:space="preserve">Not started</t>
        </is>
      </c>
      <c r="M147" s="4">
        <f>HYPERLINK("WEEKS/WEEK_21.md","Week 21 · Day 146")</f>
      </c>
    </row>
    <row r="148">
      <c r="A148" s="3">
        <v>147</v>
      </c>
      <c r="B148" s="2">
        <f>START!$B$4+A148-1</f>
      </c>
      <c r="C148" s="3">
        <f>TEXT(B148,"ddd")</f>
      </c>
      <c r="D148" s="3">
        <v>21</v>
      </c>
      <c r="E148" s="3" t="inlineStr">
        <is>
          <t xml:space="preserve">Interview launch (Week 24 six-month asse</t>
        </is>
      </c>
      <c r="F148" s="3" t="inlineStr">
        <is>
          <t xml:space="preserve">Weekly test, review, project, stories</t>
        </is>
      </c>
      <c r="H148" s="3" t="inlineStr">
        <is>
          <t xml:space="preserve">Weekly review: classify this week's failures; plan next week's repairs.</t>
        </is>
      </c>
      <c r="J148" s="3" t="inlineStr">
        <is>
          <t xml:space="preserve">Not started</t>
        </is>
      </c>
      <c r="M148" s="4">
        <f>HYPERLINK("WEEKS/WEEK_21.md","Week 21 · Day 147")</f>
      </c>
    </row>
    <row r="149">
      <c r="A149" s="3">
        <v>148</v>
      </c>
      <c r="B149" s="2">
        <f>START!$B$4+A149-1</f>
      </c>
      <c r="C149" s="3">
        <f>TEXT(B149,"ddd")</f>
      </c>
      <c r="D149" s="3">
        <v>22</v>
      </c>
      <c r="E149" s="3" t="inlineStr">
        <is>
          <t xml:space="preserve">Interview launch (Week 24 six-month asse</t>
        </is>
      </c>
      <c r="F149" s="3" t="inlineStr">
        <is>
          <t xml:space="preserve">No-IDE coding</t>
        </is>
      </c>
      <c r="G149" s="3" t="inlineStr">
        <is>
          <t xml:space="preserve">Count Good Nodes in Binary Tree, Subtree of Another Tree</t>
        </is>
      </c>
      <c r="H149" s="3" t="inlineStr">
        <is>
          <t xml:space="preserve">Coding without autocomplete; 'make it faster'; stating complexity</t>
        </is>
      </c>
      <c r="I149" s="3" t="inlineStr">
        <is>
          <t xml:space="preserve">How do you code with no autocomplete and no compiler?</t>
        </is>
      </c>
      <c r="J149" s="3" t="inlineStr">
        <is>
          <t xml:space="preserve">Not started</t>
        </is>
      </c>
      <c r="M149" s="4">
        <f>HYPERLINK("WEEKS/WEEK_22.md","Week 22 · Day 148")</f>
      </c>
    </row>
    <row r="150">
      <c r="A150" s="3">
        <v>149</v>
      </c>
      <c r="B150" s="2">
        <f>START!$B$4+A150-1</f>
      </c>
      <c r="C150" s="3">
        <f>TEXT(B150,"ddd")</f>
      </c>
      <c r="D150" s="3">
        <v>22</v>
      </c>
      <c r="E150" s="3" t="inlineStr">
        <is>
          <t xml:space="preserve">Interview launch (Week 24 six-month asse</t>
        </is>
      </c>
      <c r="F150" s="3" t="inlineStr">
        <is>
          <t xml:space="preserve">LLD drill</t>
        </is>
      </c>
      <c r="G150" s="3" t="inlineStr">
        <is>
          <t xml:space="preserve">Course Schedule, Course Schedule II</t>
        </is>
      </c>
      <c r="H150" s="3" t="inlineStr">
        <is>
          <t xml:space="preserve">LLD drill: task scheduler — priorities, delays, recurring tasks, worker threads</t>
        </is>
      </c>
      <c r="I150" s="3" t="inlineStr">
        <is>
          <t xml:space="preserve">Where does concurrency appear in a task scheduler?</t>
        </is>
      </c>
      <c r="J150" s="3" t="inlineStr">
        <is>
          <t xml:space="preserve">Not started</t>
        </is>
      </c>
      <c r="M150" s="4">
        <f>HYPERLINK("WEEKS/WEEK_22.md","Week 22 · Day 149")</f>
      </c>
    </row>
    <row r="151">
      <c r="A151" s="3">
        <v>150</v>
      </c>
      <c r="B151" s="2">
        <f>START!$B$4+A151-1</f>
      </c>
      <c r="C151" s="3">
        <f>TEXT(B151,"ddd")</f>
      </c>
      <c r="D151" s="3">
        <v>22</v>
      </c>
      <c r="E151" s="3" t="inlineStr">
        <is>
          <t xml:space="preserve">Interview launch (Week 24 six-month asse</t>
        </is>
      </c>
      <c r="F151" s="3" t="inlineStr">
        <is>
          <t xml:space="preserve">Design drill</t>
        </is>
      </c>
      <c r="G151" s="3" t="inlineStr">
        <is>
          <t xml:space="preserve">Top K Frequent Elements, Top K Frequent Words</t>
        </is>
      </c>
      <c r="H151" s="3" t="inlineStr">
        <is>
          <t xml:space="preserve">Design drills: YouTube (upload, transcoding, streaming) and typeahead (trie service, ranking, caching)</t>
        </is>
      </c>
      <c r="I151" s="3" t="inlineStr">
        <is>
          <t xml:space="preserve">What separates a passing design from a strong one?</t>
        </is>
      </c>
      <c r="J151" s="3" t="inlineStr">
        <is>
          <t xml:space="preserve">Not started</t>
        </is>
      </c>
      <c r="M151" s="4">
        <f>HYPERLINK("WEEKS/WEEK_22.md","Week 22 · Day 150")</f>
      </c>
    </row>
    <row r="152">
      <c r="A152" s="3">
        <v>151</v>
      </c>
      <c r="B152" s="2">
        <f>START!$B$4+A152-1</f>
      </c>
      <c r="C152" s="3">
        <f>TEXT(B152,"ddd")</f>
      </c>
      <c r="D152" s="3">
        <v>22</v>
      </c>
      <c r="E152" s="3" t="inlineStr">
        <is>
          <t xml:space="preserve">Interview launch (Week 24 six-month asse</t>
        </is>
      </c>
      <c r="F152" s="3" t="inlineStr">
        <is>
          <t xml:space="preserve">Communication under pressure</t>
        </is>
      </c>
      <c r="G152" s="3" t="inlineStr">
        <is>
          <t xml:space="preserve">Partition Equal Subset Sum, Target Sum</t>
        </is>
      </c>
      <c r="H152" s="3" t="inlineStr">
        <is>
          <t xml:space="preserve">When English stalls, answer length, recovering a bad answer, questions to ask; aptitude only if a target test needs it</t>
        </is>
      </c>
      <c r="I152" s="3" t="inlineStr">
        <is>
          <t xml:space="preserve">Your English stalls mid-answer. What do you do?</t>
        </is>
      </c>
      <c r="J152" s="3" t="inlineStr">
        <is>
          <t xml:space="preserve">Not started</t>
        </is>
      </c>
      <c r="M152" s="4">
        <f>HYPERLINK("WEEKS/WEEK_22.md","Week 22 · Day 151")</f>
      </c>
    </row>
    <row r="153">
      <c r="A153" s="3">
        <v>152</v>
      </c>
      <c r="B153" s="2">
        <f>START!$B$4+A153-1</f>
      </c>
      <c r="C153" s="3">
        <f>TEXT(B153,"ddd")</f>
      </c>
      <c r="D153" s="3">
        <v>22</v>
      </c>
      <c r="E153" s="3" t="inlineStr">
        <is>
          <t xml:space="preserve">Interview launch (Week 24 six-month asse</t>
        </is>
      </c>
      <c r="F153" s="3" t="inlineStr">
        <is>
          <t xml:space="preserve">Repair and retrieval</t>
        </is>
      </c>
      <c r="G153" s="3" t="inlineStr">
        <is>
          <t xml:space="preserve">re-solves + Find if Path Exists in Graph</t>
        </is>
      </c>
      <c r="H153" s="3" t="inlineStr">
        <is>
          <t xml:space="preserve">re-explain the week</t>
        </is>
      </c>
      <c r="J153" s="3" t="inlineStr">
        <is>
          <t xml:space="preserve">Not started</t>
        </is>
      </c>
      <c r="M153" s="4">
        <f>HYPERLINK("WEEKS/WEEK_22.md","Week 22 · Day 152")</f>
      </c>
    </row>
    <row r="154">
      <c r="A154" s="3">
        <v>153</v>
      </c>
      <c r="B154" s="2">
        <f>START!$B$4+A154-1</f>
      </c>
      <c r="C154" s="3">
        <f>TEXT(B154,"ddd")</f>
      </c>
      <c r="D154" s="3">
        <v>22</v>
      </c>
      <c r="E154" s="3" t="inlineStr">
        <is>
          <t xml:space="preserve">Interview launch (Week 24 six-month asse</t>
        </is>
      </c>
      <c r="F154" s="3" t="inlineStr">
        <is>
          <t xml:space="preserve">Deep work: DSA + design + lab/project</t>
        </is>
      </c>
      <c r="G154" s="3" t="inlineStr">
        <is>
          <t xml:space="preserve">Min Cost to Connect All Points, Cheapest Flights Within K Stops</t>
        </is>
      </c>
      <c r="H154" s="3" t="inlineStr">
        <is>
          <t xml:space="preserve">LLD mock: rate limiter or parking lot with a change request.</t>
        </is>
      </c>
      <c r="J154" s="3" t="inlineStr">
        <is>
          <t xml:space="preserve">Not started</t>
        </is>
      </c>
      <c r="M154" s="4">
        <f>HYPERLINK("WEEKS/WEEK_22.md","Week 22 · Day 153")</f>
      </c>
    </row>
    <row r="155">
      <c r="A155" s="3">
        <v>154</v>
      </c>
      <c r="B155" s="2">
        <f>START!$B$4+A155-1</f>
      </c>
      <c r="C155" s="3">
        <f>TEXT(B155,"ddd")</f>
      </c>
      <c r="D155" s="3">
        <v>22</v>
      </c>
      <c r="E155" s="3" t="inlineStr">
        <is>
          <t xml:space="preserve">Interview launch (Week 24 six-month asse</t>
        </is>
      </c>
      <c r="F155" s="3" t="inlineStr">
        <is>
          <t xml:space="preserve">Weekly test, review, project, stories</t>
        </is>
      </c>
      <c r="H155" s="3" t="inlineStr">
        <is>
          <t xml:space="preserve">Weekly review and application follow-ups.</t>
        </is>
      </c>
      <c r="J155" s="3" t="inlineStr">
        <is>
          <t xml:space="preserve">Not started</t>
        </is>
      </c>
      <c r="M155" s="4">
        <f>HYPERLINK("WEEKS/WEEK_22.md","Week 22 · Day 154")</f>
      </c>
    </row>
    <row r="156">
      <c r="A156" s="3">
        <v>155</v>
      </c>
      <c r="B156" s="2">
        <f>START!$B$4+A156-1</f>
      </c>
      <c r="C156" s="3">
        <f>TEXT(B156,"ddd")</f>
      </c>
      <c r="D156" s="3">
        <v>23</v>
      </c>
      <c r="E156" s="3" t="inlineStr">
        <is>
          <t xml:space="preserve">Interview launch (Week 24 six-month asse</t>
        </is>
      </c>
      <c r="F156" s="3" t="inlineStr">
        <is>
          <t xml:space="preserve">Leadership Principles mapping</t>
        </is>
      </c>
      <c r="G156" s="3" t="inlineStr">
        <is>
          <t xml:space="preserve">Reorder Data in Log Files, Most Common Word</t>
        </is>
      </c>
      <c r="H156" s="3" t="inlineStr">
        <is>
          <t xml:space="preserve">All 16 Leadership Principles in plain words; map your stories</t>
        </is>
      </c>
      <c r="I156" s="3" t="inlineStr">
        <is>
          <t xml:space="preserve">What is the Bar Raiser looking for?</t>
        </is>
      </c>
      <c r="J156" s="3" t="inlineStr">
        <is>
          <t xml:space="preserve">Not started</t>
        </is>
      </c>
      <c r="M156" s="4">
        <f>HYPERLINK("WEEKS/WEEK_23.md","Week 23 · Day 155")</f>
      </c>
    </row>
    <row r="157">
      <c r="A157" s="3">
        <v>156</v>
      </c>
      <c r="B157" s="2">
        <f>START!$B$4+A157-1</f>
      </c>
      <c r="C157" s="3">
        <f>TEXT(B157,"ddd")</f>
      </c>
      <c r="D157" s="3">
        <v>23</v>
      </c>
      <c r="E157" s="3" t="inlineStr">
        <is>
          <t xml:space="preserve">Interview launch (Week 24 six-month asse</t>
        </is>
      </c>
      <c r="F157" s="3" t="inlineStr">
        <is>
          <t xml:space="preserve">Timed LLD one</t>
        </is>
      </c>
      <c r="G157" s="3" t="inlineStr">
        <is>
          <t xml:space="preserve">Number of Islands, Rotting Oranges</t>
        </is>
      </c>
      <c r="H157" s="3" t="inlineStr">
        <is>
          <t xml:space="preserve">Timed LLD: ATM (40 minutes, working C#)</t>
        </is>
      </c>
      <c r="I157" s="3" t="inlineStr">
        <is>
          <t xml:space="preserve">Which states does an ATM have?</t>
        </is>
      </c>
      <c r="J157" s="3" t="inlineStr">
        <is>
          <t xml:space="preserve">Not started</t>
        </is>
      </c>
      <c r="M157" s="4">
        <f>HYPERLINK("WEEKS/WEEK_23.md","Week 23 · Day 156")</f>
      </c>
    </row>
    <row r="158">
      <c r="A158" s="3">
        <v>157</v>
      </c>
      <c r="B158" s="2">
        <f>START!$B$4+A158-1</f>
      </c>
      <c r="C158" s="3">
        <f>TEXT(B158,"ddd")</f>
      </c>
      <c r="D158" s="3">
        <v>23</v>
      </c>
      <c r="E158" s="3" t="inlineStr">
        <is>
          <t xml:space="preserve">Interview launch (Week 24 six-month asse</t>
        </is>
      </c>
      <c r="F158" s="3" t="inlineStr">
        <is>
          <t xml:space="preserve">Amazon-leaning coding</t>
        </is>
      </c>
      <c r="G158" s="3" t="inlineStr">
        <is>
          <t xml:space="preserve">LRU Cache, Merge Intervals</t>
        </is>
      </c>
      <c r="H158" s="3" t="inlineStr">
        <is>
          <t xml:space="preserve">Timed LLD: library management system (40 minutes)</t>
        </is>
      </c>
      <c r="I158" s="3" t="inlineStr">
        <is>
          <t xml:space="preserve">How do you keep an LLD extensible?</t>
        </is>
      </c>
      <c r="J158" s="3" t="inlineStr">
        <is>
          <t xml:space="preserve">Not started</t>
        </is>
      </c>
      <c r="M158" s="4">
        <f>HYPERLINK("WEEKS/WEEK_23.md","Week 23 · Day 157")</f>
      </c>
    </row>
    <row r="159">
      <c r="A159" s="3">
        <v>158</v>
      </c>
      <c r="B159" s="2">
        <f>START!$B$4+A159-1</f>
      </c>
      <c r="C159" s="3">
        <f>TEXT(B159,"ddd")</f>
      </c>
      <c r="D159" s="3">
        <v>23</v>
      </c>
      <c r="E159" s="3" t="inlineStr">
        <is>
          <t xml:space="preserve">Interview launch (Week 24 six-month asse</t>
        </is>
      </c>
      <c r="F159" s="3" t="inlineStr">
        <is>
          <t xml:space="preserve">OA-style sketch</t>
        </is>
      </c>
      <c r="G159" s="3" t="inlineStr">
        <is>
          <t xml:space="preserve">Word Ladder, K Closest Points to Origin</t>
        </is>
      </c>
      <c r="H159" s="3" t="inlineStr">
        <is>
          <t xml:space="preserve">Package tracking in 20 minutes (OA-style), then post-interview analysis practice</t>
        </is>
      </c>
      <c r="I159" s="3" t="inlineStr">
        <is>
          <t xml:space="preserve">How do you analyse an interview afterwards?</t>
        </is>
      </c>
      <c r="J159" s="3" t="inlineStr">
        <is>
          <t xml:space="preserve">Not started</t>
        </is>
      </c>
      <c r="M159" s="4">
        <f>HYPERLINK("WEEKS/WEEK_23.md","Week 23 · Day 158")</f>
      </c>
    </row>
    <row r="160">
      <c r="A160" s="3">
        <v>159</v>
      </c>
      <c r="B160" s="2">
        <f>START!$B$4+A160-1</f>
      </c>
      <c r="C160" s="3">
        <f>TEXT(B160,"ddd")</f>
      </c>
      <c r="D160" s="3">
        <v>23</v>
      </c>
      <c r="E160" s="3" t="inlineStr">
        <is>
          <t xml:space="preserve">Interview launch (Week 24 six-month asse</t>
        </is>
      </c>
      <c r="F160" s="3" t="inlineStr">
        <is>
          <t xml:space="preserve">Repair and retrieval</t>
        </is>
      </c>
      <c r="G160" s="3" t="inlineStr">
        <is>
          <t xml:space="preserve">re-solves + Integer to English Words</t>
        </is>
      </c>
      <c r="H160" s="3" t="inlineStr">
        <is>
          <t xml:space="preserve">re-explain the week</t>
        </is>
      </c>
      <c r="J160" s="3" t="inlineStr">
        <is>
          <t xml:space="preserve">Not started</t>
        </is>
      </c>
      <c r="M160" s="4">
        <f>HYPERLINK("WEEKS/WEEK_23.md","Week 23 · Day 159")</f>
      </c>
    </row>
    <row r="161">
      <c r="A161" s="3">
        <v>160</v>
      </c>
      <c r="B161" s="2">
        <f>START!$B$4+A161-1</f>
      </c>
      <c r="C161" s="3">
        <f>TEXT(B161,"ddd")</f>
      </c>
      <c r="D161" s="3">
        <v>23</v>
      </c>
      <c r="E161" s="3" t="inlineStr">
        <is>
          <t xml:space="preserve">Interview launch (Week 24 six-month asse</t>
        </is>
      </c>
      <c r="F161" s="3" t="inlineStr">
        <is>
          <t xml:space="preserve">Deep work: DSA + design + lab/project</t>
        </is>
      </c>
      <c r="G161" s="3" t="inlineStr">
        <is>
          <t xml:space="preserve">Trapping Rain Water, Find Median from Data Stream</t>
        </is>
      </c>
      <c r="H161" s="3" t="inlineStr">
        <is>
          <t xml:space="preserve">Amazon-style LLD mock (with LP questions mixed in).</t>
        </is>
      </c>
      <c r="J161" s="3" t="inlineStr">
        <is>
          <t xml:space="preserve">Not started</t>
        </is>
      </c>
      <c r="M161" s="4">
        <f>HYPERLINK("WEEKS/WEEK_23.md","Week 23 · Day 160")</f>
      </c>
    </row>
    <row r="162">
      <c r="A162" s="3">
        <v>161</v>
      </c>
      <c r="B162" s="2">
        <f>START!$B$4+A162-1</f>
      </c>
      <c r="C162" s="3">
        <f>TEXT(B162,"ddd")</f>
      </c>
      <c r="D162" s="3">
        <v>23</v>
      </c>
      <c r="E162" s="3" t="inlineStr">
        <is>
          <t xml:space="preserve">Interview launch (Week 24 six-month asse</t>
        </is>
      </c>
      <c r="F162" s="3" t="inlineStr">
        <is>
          <t xml:space="preserve">Weekly test, review, project, stories</t>
        </is>
      </c>
      <c r="H162" s="3" t="inlineStr">
        <is>
          <t xml:space="preserve">Weekly review; applications by verified priority.</t>
        </is>
      </c>
      <c r="J162" s="3" t="inlineStr">
        <is>
          <t xml:space="preserve">Not started</t>
        </is>
      </c>
      <c r="M162" s="4">
        <f>HYPERLINK("WEEKS/WEEK_23.md","Week 23 · Day 161")</f>
      </c>
    </row>
    <row r="163">
      <c r="A163" s="3">
        <v>162</v>
      </c>
      <c r="B163" s="2">
        <f>START!$B$4+A163-1</f>
      </c>
      <c r="C163" s="3">
        <f>TEXT(B163,"ddd")</f>
      </c>
      <c r="D163" s="3">
        <v>24</v>
      </c>
      <c r="E163" s="3" t="inlineStr">
        <is>
          <t xml:space="preserve">Interview launch (Week 24 six-month asse</t>
        </is>
      </c>
      <c r="F163" s="3" t="inlineStr">
        <is>
          <t xml:space="preserve">No-IDE graphs and DP</t>
        </is>
      </c>
      <c r="G163" s="3" t="inlineStr">
        <is>
          <t xml:space="preserve">Longest Increasing Path in a Matrix, Longest Common Subsequence</t>
        </is>
      </c>
      <c r="H163" s="3" t="inlineStr">
        <is>
          <t xml:space="preserve">Hiring committee: how to be easy to write down</t>
        </is>
      </c>
      <c r="I163" s="3" t="inlineStr">
        <is>
          <t xml:space="preserve">What does the hiring committee mean for how you answer?</t>
        </is>
      </c>
      <c r="J163" s="3" t="inlineStr">
        <is>
          <t xml:space="preserve">Not started</t>
        </is>
      </c>
      <c r="M163" s="4">
        <f>HYPERLINK("WEEKS/WEEK_24.md","Week 24 · Day 162")</f>
      </c>
    </row>
    <row r="164">
      <c r="A164" s="3">
        <v>163</v>
      </c>
      <c r="B164" s="2">
        <f>START!$B$4+A164-1</f>
      </c>
      <c r="C164" s="3">
        <f>TEXT(B164,"ddd")</f>
      </c>
      <c r="D164" s="3">
        <v>24</v>
      </c>
      <c r="E164" s="3" t="inlineStr">
        <is>
          <t xml:space="preserve">Interview launch (Week 24 six-month asse</t>
        </is>
      </c>
      <c r="F164" s="3" t="inlineStr">
        <is>
          <t xml:space="preserve">Code comprehension</t>
        </is>
      </c>
      <c r="G164" s="3" t="inlineStr">
        <is>
          <t xml:space="preserve">Evaluate Division, Minimum Height Trees</t>
        </is>
      </c>
      <c r="H164" s="3" t="inlineStr">
        <is>
          <t xml:space="preserve">Code comprehension: read 45 minutes of open-source C#, explain it aloud, find a risk</t>
        </is>
      </c>
      <c r="I164" s="3" t="inlineStr">
        <is>
          <t xml:space="preserve">What is the code comprehension round and how do you prepare?</t>
        </is>
      </c>
      <c r="J164" s="3" t="inlineStr">
        <is>
          <t xml:space="preserve">Not started</t>
        </is>
      </c>
      <c r="M164" s="4">
        <f>HYPERLINK("WEEKS/WEEK_24.md","Week 24 · Day 163")</f>
      </c>
    </row>
    <row r="165">
      <c r="A165" s="3">
        <v>164</v>
      </c>
      <c r="B165" s="2">
        <f>START!$B$4+A165-1</f>
      </c>
      <c r="C165" s="3">
        <f>TEXT(B165,"ddd")</f>
      </c>
      <c r="D165" s="3">
        <v>24</v>
      </c>
      <c r="E165" s="3" t="inlineStr">
        <is>
          <t xml:space="preserve">Interview launch (Week 24 six-month asse</t>
        </is>
      </c>
      <c r="F165" s="3" t="inlineStr">
        <is>
          <t xml:space="preserve">Design: collaborative editing</t>
        </is>
      </c>
      <c r="G165" s="3" t="inlineStr">
        <is>
          <t xml:space="preserve">Edit Distance, Longest Palindromic Substring</t>
        </is>
      </c>
      <c r="H165" s="3" t="inlineStr">
        <is>
          <t xml:space="preserve">Google Docs design: OT vs CRDT, presence, conflict handling</t>
        </is>
      </c>
      <c r="I165" s="3" t="inlineStr">
        <is>
          <t xml:space="preserve">How do two people edit the same paragraph safely?</t>
        </is>
      </c>
      <c r="J165" s="3" t="inlineStr">
        <is>
          <t xml:space="preserve">Not started</t>
        </is>
      </c>
      <c r="M165" s="4">
        <f>HYPERLINK("WEEKS/WEEK_24.md","Week 24 · Day 164")</f>
      </c>
    </row>
    <row r="166">
      <c r="A166" s="3">
        <v>165</v>
      </c>
      <c r="B166" s="2">
        <f>START!$B$4+A166-1</f>
      </c>
      <c r="C166" s="3">
        <f>TEXT(B166,"ddd")</f>
      </c>
      <c r="D166" s="3">
        <v>24</v>
      </c>
      <c r="E166" s="3" t="inlineStr">
        <is>
          <t xml:space="preserve">Interview launch (Week 24 six-month asse</t>
        </is>
      </c>
      <c r="F166" s="3" t="inlineStr">
        <is>
          <t xml:space="preserve">Design: distributed cache</t>
        </is>
      </c>
      <c r="G166" s="3" t="inlineStr">
        <is>
          <t xml:space="preserve">LFU Cache, LRU Cache</t>
        </is>
      </c>
      <c r="H166" s="3" t="inlineStr">
        <is>
          <t xml:space="preserve">Distributed cache design: consistent hashing, replication, eviction, hot keys</t>
        </is>
      </c>
      <c r="I166" s="3" t="inlineStr">
        <is>
          <t xml:space="preserve">How do you handle a hot key in a distributed cache?</t>
        </is>
      </c>
      <c r="J166" s="3" t="inlineStr">
        <is>
          <t xml:space="preserve">Not started</t>
        </is>
      </c>
      <c r="M166" s="4">
        <f>HYPERLINK("WEEKS/WEEK_24.md","Week 24 · Day 165")</f>
      </c>
    </row>
    <row r="167">
      <c r="A167" s="3">
        <v>166</v>
      </c>
      <c r="B167" s="2">
        <f>START!$B$4+A167-1</f>
      </c>
      <c r="C167" s="3">
        <f>TEXT(B167,"ddd")</f>
      </c>
      <c r="D167" s="3">
        <v>24</v>
      </c>
      <c r="E167" s="3" t="inlineStr">
        <is>
          <t xml:space="preserve">Interview launch (Week 24 six-month asse</t>
        </is>
      </c>
      <c r="F167" s="3" t="inlineStr">
        <is>
          <t xml:space="preserve">Repair and retrieval</t>
        </is>
      </c>
      <c r="G167" s="3" t="inlineStr">
        <is>
          <t xml:space="preserve">re-solves + Median of Two Sorted Arrays</t>
        </is>
      </c>
      <c r="H167" s="3" t="inlineStr">
        <is>
          <t xml:space="preserve">re-explain the week</t>
        </is>
      </c>
      <c r="J167" s="3" t="inlineStr">
        <is>
          <t xml:space="preserve">Not started</t>
        </is>
      </c>
      <c r="M167" s="4">
        <f>HYPERLINK("WEEKS/WEEK_24.md","Week 24 · Day 166")</f>
      </c>
    </row>
    <row r="168">
      <c r="A168" s="3">
        <v>167</v>
      </c>
      <c r="B168" s="2">
        <f>START!$B$4+A168-1</f>
      </c>
      <c r="C168" s="3">
        <f>TEXT(B168,"ddd")</f>
      </c>
      <c r="D168" s="3">
        <v>24</v>
      </c>
      <c r="E168" s="3" t="inlineStr">
        <is>
          <t xml:space="preserve">Interview launch (Week 24 six-month asse</t>
        </is>
      </c>
      <c r="F168" s="3" t="inlineStr">
        <is>
          <t xml:space="preserve">Deep work: DSA + design + lab/project</t>
        </is>
      </c>
      <c r="G168" s="3" t="inlineStr">
        <is>
          <t xml:space="preserve">Word Search II, Largest Rectangle in Histogram</t>
        </is>
      </c>
      <c r="H168" s="3" t="inlineStr">
        <is>
          <t xml:space="preserve">Full design mock (job platform, booking or notification).</t>
        </is>
      </c>
      <c r="J168" s="3" t="inlineStr">
        <is>
          <t xml:space="preserve">Not started</t>
        </is>
      </c>
      <c r="M168" s="4">
        <f>HYPERLINK("WEEKS/WEEK_24.md","Week 24 · Day 167")</f>
      </c>
    </row>
    <row r="169">
      <c r="A169" s="3">
        <v>168</v>
      </c>
      <c r="B169" s="2">
        <f>START!$B$4+A169-1</f>
      </c>
      <c r="C169" s="3">
        <f>TEXT(B169,"ddd")</f>
      </c>
      <c r="D169" s="3">
        <v>24</v>
      </c>
      <c r="E169" s="3" t="inlineStr">
        <is>
          <t xml:space="preserve">Interview launch (Week 24 six-month asse</t>
        </is>
      </c>
      <c r="F169" s="3" t="inlineStr">
        <is>
          <t xml:space="preserve">Week 24 — six-month core assessment</t>
        </is>
      </c>
      <c r="H169" s="3" t="inlineStr">
        <is>
          <t xml:space="preserve">SIX-MONTH ASSESSMENT (see checkpoint).</t>
        </is>
      </c>
      <c r="J169" s="3" t="inlineStr">
        <is>
          <t xml:space="preserve">Not started</t>
        </is>
      </c>
      <c r="M169" s="4">
        <f>HYPERLINK("WEEKS/WEEK_24.md","Week 24 · Day 168")</f>
      </c>
    </row>
    <row r="170">
      <c r="A170" s="3">
        <v>169</v>
      </c>
      <c r="B170" s="2">
        <f>START!$B$4+A170-1</f>
      </c>
      <c r="C170" s="3">
        <f>TEXT(B170,"ddd")</f>
      </c>
      <c r="D170" s="3">
        <v>25</v>
      </c>
      <c r="E170" s="3" t="inlineStr">
        <is>
          <t xml:space="preserve">Advanced depth, conversion and continuat</t>
        </is>
      </c>
      <c r="F170" s="3" t="inlineStr">
        <is>
          <t xml:space="preserve">Weak-family repair</t>
        </is>
      </c>
      <c r="G170" s="3" t="inlineStr">
        <is>
          <t xml:space="preserve">Minimum Window Substring, Longest Substring Without Repeating Characters</t>
        </is>
      </c>
      <c r="H170" s="3" t="inlineStr">
        <is>
          <t xml:space="preserve">Kafka: when it beats SQS, consumer-group rebalancing, ordering</t>
        </is>
      </c>
      <c r="I170" s="3" t="inlineStr">
        <is>
          <t xml:space="preserve">When does Kafka beat SQS, concretely?</t>
        </is>
      </c>
      <c r="J170" s="3" t="inlineStr">
        <is>
          <t xml:space="preserve">Not started</t>
        </is>
      </c>
      <c r="M170" s="4">
        <f>HYPERLINK("WEEKS/WEEK_25.md","Week 25 · Day 169")</f>
      </c>
    </row>
    <row r="171">
      <c r="A171" s="3">
        <v>170</v>
      </c>
      <c r="B171" s="2">
        <f>START!$B$4+A171-1</f>
      </c>
      <c r="C171" s="3">
        <f>TEXT(B171,"ddd")</f>
      </c>
      <c r="D171" s="3">
        <v>25</v>
      </c>
      <c r="E171" s="3" t="inlineStr">
        <is>
          <t xml:space="preserve">Advanced depth, conversion and continuat</t>
        </is>
      </c>
      <c r="F171" s="3" t="inlineStr">
        <is>
          <t xml:space="preserve">Advanced strings (extension)</t>
        </is>
      </c>
      <c r="G171" s="3" t="inlineStr">
        <is>
          <t xml:space="preserve">Find the Index of the First Occurrence in a String, KMP prefix function (LPS) by hand, then code</t>
        </is>
      </c>
      <c r="H171" s="3" t="inlineStr">
        <is>
          <t xml:space="preserve">Log compaction, ISR and acks, exactly-once semantics; commits, poison messages</t>
        </is>
      </c>
      <c r="I171" s="3" t="inlineStr">
        <is>
          <t xml:space="preserve">Kafka claims exactly-once semantics. Is that a contradiction?</t>
        </is>
      </c>
      <c r="J171" s="3" t="inlineStr">
        <is>
          <t xml:space="preserve">Not started</t>
        </is>
      </c>
      <c r="M171" s="4">
        <f>HYPERLINK("WEEKS/WEEK_25.md","Week 25 · Day 170")</f>
      </c>
    </row>
    <row r="172">
      <c r="A172" s="3">
        <v>171</v>
      </c>
      <c r="B172" s="2">
        <f>START!$B$4+A172-1</f>
      </c>
      <c r="C172" s="3">
        <f>TEXT(B172,"ddd")</f>
      </c>
      <c r="D172" s="3">
        <v>25</v>
      </c>
      <c r="E172" s="3" t="inlineStr">
        <is>
          <t xml:space="preserve">Advanced depth, conversion and continuat</t>
        </is>
      </c>
      <c r="F172" s="3" t="inlineStr">
        <is>
          <t xml:space="preserve">Greedy vs DP</t>
        </is>
      </c>
      <c r="G172" s="3" t="inlineStr">
        <is>
          <t xml:space="preserve">Coin Change, Jump Game</t>
        </is>
      </c>
      <c r="H172" s="3" t="inlineStr">
        <is>
          <t xml:space="preserve">Stream processing: event time vs processing time, watermarks, windows</t>
        </is>
      </c>
      <c r="I172" s="3" t="inlineStr">
        <is>
          <t xml:space="preserve">What is a watermark?</t>
        </is>
      </c>
      <c r="J172" s="3" t="inlineStr">
        <is>
          <t xml:space="preserve">Not started</t>
        </is>
      </c>
      <c r="M172" s="4">
        <f>HYPERLINK("WEEKS/WEEK_25.md","Week 25 · Day 171")</f>
      </c>
    </row>
    <row r="173">
      <c r="A173" s="3">
        <v>172</v>
      </c>
      <c r="B173" s="2">
        <f>START!$B$4+A173-1</f>
      </c>
      <c r="C173" s="3">
        <f>TEXT(B173,"ddd")</f>
      </c>
      <c r="D173" s="3">
        <v>25</v>
      </c>
      <c r="E173" s="3" t="inlineStr">
        <is>
          <t xml:space="preserve">Advanced depth, conversion and continuat</t>
        </is>
      </c>
      <c r="F173" s="3" t="inlineStr">
        <is>
          <t xml:space="preserve">Timed maintenance</t>
        </is>
      </c>
      <c r="G173" s="3" t="inlineStr">
        <is>
          <t xml:space="preserve">Repeated String Match, Longest Happy Prefix</t>
        </is>
      </c>
      <c r="H173" s="3" t="inlineStr">
        <is>
          <t xml:space="preserve">Approximate counting, backfill and replay; schema evolution and Schema Registry</t>
        </is>
      </c>
      <c r="I173" s="3" t="inlineStr">
        <is>
          <t xml:space="preserve">Why is replay a design requirement?</t>
        </is>
      </c>
      <c r="J173" s="3" t="inlineStr">
        <is>
          <t xml:space="preserve">Not started</t>
        </is>
      </c>
      <c r="M173" s="4">
        <f>HYPERLINK("WEEKS/WEEK_25.md","Week 25 · Day 172")</f>
      </c>
    </row>
    <row r="174">
      <c r="A174" s="3">
        <v>173</v>
      </c>
      <c r="B174" s="2">
        <f>START!$B$4+A174-1</f>
      </c>
      <c r="C174" s="3">
        <f>TEXT(B174,"ddd")</f>
      </c>
      <c r="D174" s="3">
        <v>25</v>
      </c>
      <c r="E174" s="3" t="inlineStr">
        <is>
          <t xml:space="preserve">Advanced depth, conversion and continuat</t>
        </is>
      </c>
      <c r="F174" s="3" t="inlineStr">
        <is>
          <t xml:space="preserve">Repair and retrieval</t>
        </is>
      </c>
      <c r="G174" s="3" t="inlineStr">
        <is>
          <t xml:space="preserve">re-solves + Shortest Palindrome</t>
        </is>
      </c>
      <c r="H174" s="3" t="inlineStr">
        <is>
          <t xml:space="preserve">re-explain the week</t>
        </is>
      </c>
      <c r="J174" s="3" t="inlineStr">
        <is>
          <t xml:space="preserve">Not started</t>
        </is>
      </c>
      <c r="M174" s="4">
        <f>HYPERLINK("WEEKS/WEEK_25.md","Week 25 · Day 173")</f>
      </c>
    </row>
    <row r="175">
      <c r="A175" s="3">
        <v>174</v>
      </c>
      <c r="B175" s="2">
        <f>START!$B$4+A175-1</f>
      </c>
      <c r="C175" s="3">
        <f>TEXT(B175,"ddd")</f>
      </c>
      <c r="D175" s="3">
        <v>25</v>
      </c>
      <c r="E175" s="3" t="inlineStr">
        <is>
          <t xml:space="preserve">Advanced depth, conversion and continuat</t>
        </is>
      </c>
      <c r="F175" s="3" t="inlineStr">
        <is>
          <t xml:space="preserve">Deep work: DSA + design + lab/project</t>
        </is>
      </c>
      <c r="G175" s="3" t="inlineStr">
        <is>
          <t xml:space="preserve">Is Graph Bipartite?, Implement Bellman-Ford with negative-cycle detection</t>
        </is>
      </c>
      <c r="H175" s="3" t="inlineStr">
        <is>
          <t xml:space="preserve">Ad-click aggregation HLD: event ingestion, dedup, windowed counts, late events, reconciliation with a batch job.</t>
        </is>
      </c>
      <c r="J175" s="3" t="inlineStr">
        <is>
          <t xml:space="preserve">Not started</t>
        </is>
      </c>
      <c r="M175" s="4">
        <f>HYPERLINK("WEEKS/WEEK_25.md","Week 25 · Day 174")</f>
      </c>
    </row>
    <row r="176">
      <c r="A176" s="3">
        <v>175</v>
      </c>
      <c r="B176" s="2">
        <f>START!$B$4+A176-1</f>
      </c>
      <c r="C176" s="3">
        <f>TEXT(B176,"ddd")</f>
      </c>
      <c r="D176" s="3">
        <v>25</v>
      </c>
      <c r="E176" s="3" t="inlineStr">
        <is>
          <t xml:space="preserve">Advanced depth, conversion and continuat</t>
        </is>
      </c>
      <c r="F176" s="3" t="inlineStr">
        <is>
          <t xml:space="preserve">Weekly test, review, project, stories</t>
        </is>
      </c>
      <c r="H176" s="3" t="inlineStr">
        <is>
          <t xml:space="preserve">Message-compatibility test in the project (old message, new worker).</t>
        </is>
      </c>
      <c r="J176" s="3" t="inlineStr">
        <is>
          <t xml:space="preserve">Not started</t>
        </is>
      </c>
      <c r="M176" s="4">
        <f>HYPERLINK("WEEKS/WEEK_25.md","Week 25 · Day 175")</f>
      </c>
    </row>
    <row r="177">
      <c r="A177" s="3">
        <v>176</v>
      </c>
      <c r="B177" s="2">
        <f>START!$B$4+A177-1</f>
      </c>
      <c r="C177" s="3">
        <f>TEXT(B177,"ddd")</f>
      </c>
      <c r="D177" s="3">
        <v>26</v>
      </c>
      <c r="E177" s="3" t="inlineStr">
        <is>
          <t xml:space="preserve">Advanced depth, conversion and continuat</t>
        </is>
      </c>
      <c r="F177" s="3" t="inlineStr">
        <is>
          <t xml:space="preserve">Timed coding round</t>
        </is>
      </c>
      <c r="G177" s="3" t="inlineStr">
        <is>
          <t xml:space="preserve">Maximal Square, Count Square Submatrices with All Ones</t>
        </is>
      </c>
      <c r="H177" s="3" t="inlineStr">
        <is>
          <t xml:space="preserve">Linearizability vs serializability; snapshot isolation; read-your-writes and monotonic reads</t>
        </is>
      </c>
      <c r="I177" s="3" t="inlineStr">
        <is>
          <t xml:space="preserve">Linearizability or serializability — what is the difference?</t>
        </is>
      </c>
      <c r="J177" s="3" t="inlineStr">
        <is>
          <t xml:space="preserve">Not started</t>
        </is>
      </c>
      <c r="M177" s="4">
        <f>HYPERLINK("WEEKS/WEEK_26.md","Week 26 · Day 176")</f>
      </c>
    </row>
    <row r="178">
      <c r="A178" s="3">
        <v>177</v>
      </c>
      <c r="B178" s="2">
        <f>START!$B$4+A178-1</f>
      </c>
      <c r="C178" s="3">
        <f>TEXT(B178,"ddd")</f>
      </c>
      <c r="D178" s="3">
        <v>26</v>
      </c>
      <c r="E178" s="3" t="inlineStr">
        <is>
          <t xml:space="preserve">Advanced depth, conversion and continuat</t>
        </is>
      </c>
      <c r="F178" s="3" t="inlineStr">
        <is>
          <t xml:space="preserve">Range queries (extension)</t>
        </is>
      </c>
      <c r="G178" s="3" t="inlineStr">
        <is>
          <t xml:space="preserve">Range Sum Query - Mutable, Segment tree with lazy propagation (range add, range sum)</t>
        </is>
      </c>
      <c r="H178" s="3" t="inlineStr">
        <is>
          <t xml:space="preserve">Active-active vs active-passive; RPO and RTO; replication lag</t>
        </is>
      </c>
      <c r="I178" s="3" t="inlineStr">
        <is>
          <t xml:space="preserve">Active-active or active-passive?</t>
        </is>
      </c>
      <c r="J178" s="3" t="inlineStr">
        <is>
          <t xml:space="preserve">Not started</t>
        </is>
      </c>
      <c r="M178" s="4">
        <f>HYPERLINK("WEEKS/WEEK_26.md","Week 26 · Day 177")</f>
      </c>
    </row>
    <row r="179">
      <c r="A179" s="3">
        <v>178</v>
      </c>
      <c r="B179" s="2">
        <f>START!$B$4+A179-1</f>
      </c>
      <c r="C179" s="3">
        <f>TEXT(B179,"ddd")</f>
      </c>
      <c r="D179" s="3">
        <v>26</v>
      </c>
      <c r="E179" s="3" t="inlineStr">
        <is>
          <t xml:space="preserve">Advanced depth, conversion and continuat</t>
        </is>
      </c>
      <c r="F179" s="3" t="inlineStr">
        <is>
          <t xml:space="preserve">DP follow-up</t>
        </is>
      </c>
      <c r="G179" s="3" t="inlineStr">
        <is>
          <t xml:space="preserve">Edit Distance, Longest Palindromic Subsequence</t>
        </is>
      </c>
      <c r="H179" s="3" t="inlineStr">
        <is>
          <t xml:space="preserve">Time series and geospatial: cardinality, downsampling, geohash/quadtree, erasure coding</t>
        </is>
      </c>
      <c r="I179" s="3" t="inlineStr">
        <is>
          <t xml:space="preserve">Why is cardinality the hard part of a metrics system?</t>
        </is>
      </c>
      <c r="J179" s="3" t="inlineStr">
        <is>
          <t xml:space="preserve">Not started</t>
        </is>
      </c>
      <c r="M179" s="4">
        <f>HYPERLINK("WEEKS/WEEK_26.md","Week 26 · Day 178")</f>
      </c>
    </row>
    <row r="180">
      <c r="A180" s="3">
        <v>179</v>
      </c>
      <c r="B180" s="2">
        <f>START!$B$4+A180-1</f>
      </c>
      <c r="C180" s="3">
        <f>TEXT(B180,"ddd")</f>
      </c>
      <c r="D180" s="3">
        <v>26</v>
      </c>
      <c r="E180" s="3" t="inlineStr">
        <is>
          <t xml:space="preserve">Advanced depth, conversion and continuat</t>
        </is>
      </c>
      <c r="F180" s="3" t="inlineStr">
        <is>
          <t xml:space="preserve">Debugging under time pressure</t>
        </is>
      </c>
      <c r="G180" s="3" t="inlineStr">
        <is>
          <t xml:space="preserve">Count of Smaller Numbers After Self, My Calendar I</t>
        </is>
      </c>
      <c r="H180" s="3" t="inlineStr">
        <is>
          <t xml:space="preserve">Recovery drill: backup restore and regional failover on paper</t>
        </is>
      </c>
      <c r="I180" s="3" t="inlineStr">
        <is>
          <t xml:space="preserve">How would you fail over your project to another region?</t>
        </is>
      </c>
      <c r="J180" s="3" t="inlineStr">
        <is>
          <t xml:space="preserve">Not started</t>
        </is>
      </c>
      <c r="M180" s="4">
        <f>HYPERLINK("WEEKS/WEEK_26.md","Week 26 · Day 179")</f>
      </c>
    </row>
    <row r="181">
      <c r="A181" s="3">
        <v>180</v>
      </c>
      <c r="B181" s="2">
        <f>START!$B$4+A181-1</f>
      </c>
      <c r="C181" s="3">
        <f>TEXT(B181,"ddd")</f>
      </c>
      <c r="D181" s="3">
        <v>26</v>
      </c>
      <c r="E181" s="3" t="inlineStr">
        <is>
          <t xml:space="preserve">Advanced depth, conversion and continuat</t>
        </is>
      </c>
      <c r="F181" s="3" t="inlineStr">
        <is>
          <t xml:space="preserve">Repair and retrieval</t>
        </is>
      </c>
      <c r="G181" s="3" t="inlineStr">
        <is>
          <t xml:space="preserve">re-solves + Smallest Range Covering Elements from K Lists</t>
        </is>
      </c>
      <c r="H181" s="3" t="inlineStr">
        <is>
          <t xml:space="preserve">re-explain the week</t>
        </is>
      </c>
      <c r="J181" s="3" t="inlineStr">
        <is>
          <t xml:space="preserve">Not started</t>
        </is>
      </c>
      <c r="M181" s="4">
        <f>HYPERLINK("WEEKS/WEEK_26.md","Week 26 · Day 180")</f>
      </c>
    </row>
    <row r="182">
      <c r="A182" s="3">
        <v>181</v>
      </c>
      <c r="B182" s="2">
        <f>START!$B$4+A182-1</f>
      </c>
      <c r="C182" s="3">
        <f>TEXT(B182,"ddd")</f>
      </c>
      <c r="D182" s="3">
        <v>26</v>
      </c>
      <c r="E182" s="3" t="inlineStr">
        <is>
          <t xml:space="preserve">Advanced depth, conversion and continuat</t>
        </is>
      </c>
      <c r="F182" s="3" t="inlineStr">
        <is>
          <t xml:space="preserve">Deep work: DSA + design + lab/project</t>
        </is>
      </c>
      <c r="G182" s="3" t="inlineStr">
        <is>
          <t xml:space="preserve">Find Median from Data Stream, Merge k Sorted Lists</t>
        </is>
      </c>
      <c r="H182" s="3" t="inlineStr">
        <is>
          <t xml:space="preserve">Metrics and monitoring system HLD; then evolve the URL shortener (or your project) to two regions.</t>
        </is>
      </c>
      <c r="J182" s="3" t="inlineStr">
        <is>
          <t xml:space="preserve">Not started</t>
        </is>
      </c>
      <c r="M182" s="4">
        <f>HYPERLINK("WEEKS/WEEK_26.md","Week 26 · Day 181")</f>
      </c>
    </row>
    <row r="183">
      <c r="A183" s="3">
        <v>182</v>
      </c>
      <c r="B183" s="2">
        <f>START!$B$4+A183-1</f>
      </c>
      <c r="C183" s="3">
        <f>TEXT(B183,"ddd")</f>
      </c>
      <c r="D183" s="3">
        <v>26</v>
      </c>
      <c r="E183" s="3" t="inlineStr">
        <is>
          <t xml:space="preserve">Advanced depth, conversion and continuat</t>
        </is>
      </c>
      <c r="F183" s="3" t="inlineStr">
        <is>
          <t xml:space="preserve">Weekly test, review, project, stories</t>
        </is>
      </c>
      <c r="H183" s="3" t="inlineStr">
        <is>
          <t xml:space="preserve">Recovery drill for the project (restore + failover on paper).</t>
        </is>
      </c>
      <c r="J183" s="3" t="inlineStr">
        <is>
          <t xml:space="preserve">Not started</t>
        </is>
      </c>
      <c r="M183" s="4">
        <f>HYPERLINK("WEEKS/WEEK_26.md","Week 26 · Day 182")</f>
      </c>
    </row>
    <row r="184">
      <c r="A184" s="3">
        <v>183</v>
      </c>
      <c r="B184" s="2">
        <f>START!$B$4+A184-1</f>
      </c>
      <c r="C184" s="3">
        <f>TEXT(B184,"ddd")</f>
      </c>
      <c r="D184" s="3">
        <v>27</v>
      </c>
      <c r="E184" s="3" t="inlineStr">
        <is>
          <t xml:space="preserve">Advanced depth, conversion and continuat</t>
        </is>
      </c>
      <c r="F184" s="3" t="inlineStr">
        <is>
          <t xml:space="preserve">Mixed maintenance</t>
        </is>
      </c>
      <c r="G184" s="3" t="inlineStr">
        <is>
          <t xml:space="preserve">Number of Islands, Kth Largest Element in an Array</t>
        </is>
      </c>
      <c r="H184" s="3" t="inlineStr">
        <is>
          <t xml:space="preserve">AI-assisted development and LLM basics for a backend engineer</t>
        </is>
      </c>
      <c r="I184" s="3" t="inlineStr">
        <is>
          <t xml:space="preserve">How do you use AI tools, and how do you verify their output?</t>
        </is>
      </c>
      <c r="J184" s="3" t="inlineStr">
        <is>
          <t xml:space="preserve">Not started</t>
        </is>
      </c>
      <c r="M184" s="4">
        <f>HYPERLINK("WEEKS/WEEK_27.md","Week 27 · Day 183")</f>
      </c>
    </row>
    <row r="185">
      <c r="A185" s="3">
        <v>184</v>
      </c>
      <c r="B185" s="2">
        <f>START!$B$4+A185-1</f>
      </c>
      <c r="C185" s="3">
        <f>TEXT(B185,"ddd")</f>
      </c>
      <c r="D185" s="3">
        <v>27</v>
      </c>
      <c r="E185" s="3" t="inlineStr">
        <is>
          <t xml:space="preserve">Advanced depth, conversion and continuat</t>
        </is>
      </c>
      <c r="F185" s="3" t="inlineStr">
        <is>
          <t xml:space="preserve">Weakness transfer test</t>
        </is>
      </c>
      <c r="G185" s="3" t="inlineStr">
        <is>
          <t xml:space="preserve">Search Suggestions System, Design Add and Search Words Data Structure</t>
        </is>
      </c>
      <c r="H185" s="3" t="inlineStr">
        <is>
          <t xml:space="preserve">RAG: the pipeline stage by stage; why chunking matters</t>
        </is>
      </c>
      <c r="I185" s="3" t="inlineStr">
        <is>
          <t xml:space="preserve">What is actually hard about building a RAG service?</t>
        </is>
      </c>
      <c r="J185" s="3" t="inlineStr">
        <is>
          <t xml:space="preserve">Not started</t>
        </is>
      </c>
      <c r="M185" s="4">
        <f>HYPERLINK("WEEKS/WEEK_27.md","Week 27 · Day 184")</f>
      </c>
    </row>
    <row r="186">
      <c r="A186" s="3">
        <v>185</v>
      </c>
      <c r="B186" s="2">
        <f>START!$B$4+A186-1</f>
      </c>
      <c r="C186" s="3">
        <f>TEXT(B186,"ddd")</f>
      </c>
      <c r="D186" s="3">
        <v>27</v>
      </c>
      <c r="E186" s="3" t="inlineStr">
        <is>
          <t xml:space="preserve">Advanced depth, conversion and continuat</t>
        </is>
      </c>
      <c r="F186" s="3" t="inlineStr">
        <is>
          <t xml:space="preserve">Prefix problems</t>
        </is>
      </c>
      <c r="G186" s="3" t="inlineStr">
        <is>
          <t xml:space="preserve">Word Search II, Maximum XOR of Two Numbers in an Array</t>
        </is>
      </c>
      <c r="H186" s="3" t="inlineStr">
        <is>
          <t xml:space="preserve">Embeddings, similarity, vector indexes, pgvector</t>
        </is>
      </c>
      <c r="I186" s="3" t="inlineStr">
        <is>
          <t xml:space="preserve">Why pgvector rather than a dedicated vector database?</t>
        </is>
      </c>
      <c r="J186" s="3" t="inlineStr">
        <is>
          <t xml:space="preserve">Not started</t>
        </is>
      </c>
      <c r="M186" s="4">
        <f>HYPERLINK("WEEKS/WEEK_27.md","Week 27 · Day 185")</f>
      </c>
    </row>
    <row r="187">
      <c r="A187" s="3">
        <v>186</v>
      </c>
      <c r="B187" s="2">
        <f>START!$B$4+A187-1</f>
      </c>
      <c r="C187" s="3">
        <f>TEXT(B187,"ddd")</f>
      </c>
      <c r="D187" s="3">
        <v>27</v>
      </c>
      <c r="E187" s="3" t="inlineStr">
        <is>
          <t xml:space="preserve">Advanced depth, conversion and continuat</t>
        </is>
      </c>
      <c r="F187" s="3" t="inlineStr">
        <is>
          <t xml:space="preserve">Mock with real tools</t>
        </is>
      </c>
      <c r="G187" s="3" t="inlineStr">
        <is>
          <t xml:space="preserve">Longest Increasing Path in a Matrix, Longest Consecutive Sequence</t>
        </is>
      </c>
      <c r="H187" s="3" t="inlineStr">
        <is>
          <t xml:space="preserve">Hybrid search (BM25 + vector, RRF), reranking, evaluation</t>
        </is>
      </c>
      <c r="I187" s="3" t="inlineStr">
        <is>
          <t xml:space="preserve">How do you evaluate a RAG system?</t>
        </is>
      </c>
      <c r="J187" s="3" t="inlineStr">
        <is>
          <t xml:space="preserve">Not started</t>
        </is>
      </c>
      <c r="M187" s="4">
        <f>HYPERLINK("WEEKS/WEEK_27.md","Week 27 · Day 186")</f>
      </c>
    </row>
    <row r="188">
      <c r="A188" s="3">
        <v>187</v>
      </c>
      <c r="B188" s="2">
        <f>START!$B$4+A188-1</f>
      </c>
      <c r="C188" s="3">
        <f>TEXT(B188,"ddd")</f>
      </c>
      <c r="D188" s="3">
        <v>27</v>
      </c>
      <c r="E188" s="3" t="inlineStr">
        <is>
          <t xml:space="preserve">Advanced depth, conversion and continuat</t>
        </is>
      </c>
      <c r="F188" s="3" t="inlineStr">
        <is>
          <t xml:space="preserve">Repair and retrieval</t>
        </is>
      </c>
      <c r="G188" s="3" t="inlineStr">
        <is>
          <t xml:space="preserve">re-solves + Critical Connections in a Network</t>
        </is>
      </c>
      <c r="H188" s="3" t="inlineStr">
        <is>
          <t xml:space="preserve">re-explain the week</t>
        </is>
      </c>
      <c r="J188" s="3" t="inlineStr">
        <is>
          <t xml:space="preserve">Not started</t>
        </is>
      </c>
      <c r="M188" s="4">
        <f>HYPERLINK("WEEKS/WEEK_27.md","Week 27 · Day 187")</f>
      </c>
    </row>
    <row r="189">
      <c r="A189" s="3">
        <v>188</v>
      </c>
      <c r="B189" s="2">
        <f>START!$B$4+A189-1</f>
      </c>
      <c r="C189" s="3">
        <f>TEXT(B189,"ddd")</f>
      </c>
      <c r="D189" s="3">
        <v>27</v>
      </c>
      <c r="E189" s="3" t="inlineStr">
        <is>
          <t xml:space="preserve">Advanced depth, conversion and continuat</t>
        </is>
      </c>
      <c r="F189" s="3" t="inlineStr">
        <is>
          <t xml:space="preserve">Deep work: DSA + design + lab/project</t>
        </is>
      </c>
      <c r="G189" s="3" t="inlineStr">
        <is>
          <t xml:space="preserve">Course Schedule, Word Break</t>
        </is>
      </c>
      <c r="H189" s="3" t="inlineStr">
        <is>
          <t xml:space="preserve">Proximity service (Yelp/nearby) and Uber matching HLDs: geohash/quadtree, location updates, matching.</t>
        </is>
      </c>
      <c r="J189" s="3" t="inlineStr">
        <is>
          <t xml:space="preserve">Not started</t>
        </is>
      </c>
      <c r="M189" s="4">
        <f>HYPERLINK("WEEKS/WEEK_27.md","Week 27 · Day 188")</f>
      </c>
    </row>
    <row r="190">
      <c r="A190" s="3">
        <v>189</v>
      </c>
      <c r="B190" s="2">
        <f>START!$B$4+A190-1</f>
      </c>
      <c r="C190" s="3">
        <f>TEXT(B190,"ddd")</f>
      </c>
      <c r="D190" s="3">
        <v>27</v>
      </c>
      <c r="E190" s="3" t="inlineStr">
        <is>
          <t xml:space="preserve">Advanced depth, conversion and continuat</t>
        </is>
      </c>
      <c r="F190" s="3" t="inlineStr">
        <is>
          <t xml:space="preserve">Weekly test, review, project, stories</t>
        </is>
      </c>
      <c r="H190" s="3" t="inlineStr">
        <is>
          <t xml:space="preserve">Write up the retrieval experiment: what changed, what improved, what failed.</t>
        </is>
      </c>
      <c r="J190" s="3" t="inlineStr">
        <is>
          <t xml:space="preserve">Not started</t>
        </is>
      </c>
      <c r="M190" s="4">
        <f>HYPERLINK("WEEKS/WEEK_27.md","Week 27 · Day 189")</f>
      </c>
    </row>
    <row r="191">
      <c r="A191" s="3">
        <v>190</v>
      </c>
      <c r="B191" s="2">
        <f>START!$B$4+A191-1</f>
      </c>
      <c r="C191" s="3">
        <f>TEXT(B191,"ddd")</f>
      </c>
      <c r="D191" s="3">
        <v>28</v>
      </c>
      <c r="E191" s="3" t="inlineStr">
        <is>
          <t xml:space="preserve">Advanced depth, conversion and continuat</t>
        </is>
      </c>
      <c r="F191" s="3" t="inlineStr">
        <is>
          <t xml:space="preserve">Coding mock one</t>
        </is>
      </c>
      <c r="G191" s="3" t="inlineStr">
        <is>
          <t xml:space="preserve">Largest Rectangle in Histogram, Trapping Rain Water</t>
        </is>
      </c>
      <c r="H191" s="3" t="inlineStr">
        <is>
          <t xml:space="preserve">Grounded answers, citations, abstention; retrieval vs generation failures</t>
        </is>
      </c>
      <c r="I191" s="3" t="inlineStr">
        <is>
          <t xml:space="preserve">Why must a RAG system be able to say 'I don't know'?</t>
        </is>
      </c>
      <c r="J191" s="3" t="inlineStr">
        <is>
          <t xml:space="preserve">Not started</t>
        </is>
      </c>
      <c r="M191" s="4">
        <f>HYPERLINK("WEEKS/WEEK_28.md","Week 28 · Day 190")</f>
      </c>
    </row>
    <row r="192">
      <c r="A192" s="3">
        <v>191</v>
      </c>
      <c r="B192" s="2">
        <f>START!$B$4+A192-1</f>
      </c>
      <c r="C192" s="3">
        <f>TEXT(B192,"ddd")</f>
      </c>
      <c r="D192" s="3">
        <v>28</v>
      </c>
      <c r="E192" s="3" t="inlineStr">
        <is>
          <t xml:space="preserve">Advanced depth, conversion and continuat</t>
        </is>
      </c>
      <c r="F192" s="3" t="inlineStr">
        <is>
          <t xml:space="preserve">Repair one repeated bug</t>
        </is>
      </c>
      <c r="G192" s="3" t="inlineStr">
        <is>
          <t xml:space="preserve">Reverse Nodes in k-Group, Sliding Window Maximum</t>
        </is>
      </c>
      <c r="H192" s="3" t="inlineStr">
        <is>
          <t xml:space="preserve">Prompt injection, tenant access, document permissions</t>
        </is>
      </c>
      <c r="I192" s="3" t="inlineStr">
        <is>
          <t xml:space="preserve">How do you stop a malicious document from making the model do something?</t>
        </is>
      </c>
      <c r="J192" s="3" t="inlineStr">
        <is>
          <t xml:space="preserve">Not started</t>
        </is>
      </c>
      <c r="M192" s="4">
        <f>HYPERLINK("WEEKS/WEEK_28.md","Week 28 · Day 191")</f>
      </c>
    </row>
    <row r="193">
      <c r="A193" s="3">
        <v>192</v>
      </c>
      <c r="B193" s="2">
        <f>START!$B$4+A193-1</f>
      </c>
      <c r="C193" s="3">
        <f>TEXT(B193,"ddd")</f>
      </c>
      <c r="D193" s="3">
        <v>28</v>
      </c>
      <c r="E193" s="3" t="inlineStr">
        <is>
          <t xml:space="preserve">Advanced depth, conversion and continuat</t>
        </is>
      </c>
      <c r="F193" s="3" t="inlineStr">
        <is>
          <t xml:space="preserve">Coding mock two</t>
        </is>
      </c>
      <c r="G193" s="3" t="inlineStr">
        <is>
          <t xml:space="preserve">Binary Tree Maximum Path Sum, Serialize and Deserialize Binary Tree</t>
        </is>
      </c>
      <c r="H193" s="3" t="inlineStr">
        <is>
          <t xml:space="preserve">MCP: host/client/server, tools/resources/prompts, transports, security</t>
        </is>
      </c>
      <c r="I193" s="3" t="inlineStr">
        <is>
          <t xml:space="preserve">Tools, resources and prompts in MCP — who controls each?</t>
        </is>
      </c>
      <c r="J193" s="3" t="inlineStr">
        <is>
          <t xml:space="preserve">Not started</t>
        </is>
      </c>
      <c r="M193" s="4">
        <f>HYPERLINK("WEEKS/WEEK_28.md","Week 28 · Day 192")</f>
      </c>
    </row>
    <row r="194">
      <c r="A194" s="3">
        <v>193</v>
      </c>
      <c r="B194" s="2">
        <f>START!$B$4+A194-1</f>
      </c>
      <c r="C194" s="3">
        <f>TEXT(B194,"ddd")</f>
      </c>
      <c r="D194" s="3">
        <v>28</v>
      </c>
      <c r="E194" s="3" t="inlineStr">
        <is>
          <t xml:space="preserve">Advanced depth, conversion and continuat</t>
        </is>
      </c>
      <c r="F194" s="3" t="inlineStr">
        <is>
          <t xml:space="preserve">Code review exercise</t>
        </is>
      </c>
      <c r="G194" s="3" t="inlineStr">
        <is>
          <t xml:space="preserve">LFU Cache, LRU Cache</t>
        </is>
      </c>
      <c r="H194" s="3" t="inlineStr">
        <is>
          <t xml:space="preserve">AI operations: latency, cost, observability, model/index changes</t>
        </is>
      </c>
      <c r="I194" s="3" t="inlineStr">
        <is>
          <t xml:space="preserve">How do you control the cost of an LLM feature?</t>
        </is>
      </c>
      <c r="J194" s="3" t="inlineStr">
        <is>
          <t xml:space="preserve">Not started</t>
        </is>
      </c>
      <c r="M194" s="4">
        <f>HYPERLINK("WEEKS/WEEK_28.md","Week 28 · Day 193")</f>
      </c>
    </row>
    <row r="195">
      <c r="A195" s="3">
        <v>194</v>
      </c>
      <c r="B195" s="2">
        <f>START!$B$4+A195-1</f>
      </c>
      <c r="C195" s="3">
        <f>TEXT(B195,"ddd")</f>
      </c>
      <c r="D195" s="3">
        <v>28</v>
      </c>
      <c r="E195" s="3" t="inlineStr">
        <is>
          <t xml:space="preserve">Advanced depth, conversion and continuat</t>
        </is>
      </c>
      <c r="F195" s="3" t="inlineStr">
        <is>
          <t xml:space="preserve">Repair and retrieval</t>
        </is>
      </c>
      <c r="G195" s="3" t="inlineStr">
        <is>
          <t xml:space="preserve">re-solves + Burst Balloons</t>
        </is>
      </c>
      <c r="H195" s="3" t="inlineStr">
        <is>
          <t xml:space="preserve">re-explain the week</t>
        </is>
      </c>
      <c r="J195" s="3" t="inlineStr">
        <is>
          <t xml:space="preserve">Not started</t>
        </is>
      </c>
      <c r="M195" s="4">
        <f>HYPERLINK("WEEKS/WEEK_28.md","Week 28 · Day 194")</f>
      </c>
    </row>
    <row r="196">
      <c r="A196" s="3">
        <v>195</v>
      </c>
      <c r="B196" s="2">
        <f>START!$B$4+A196-1</f>
      </c>
      <c r="C196" s="3">
        <f>TEXT(B196,"ddd")</f>
      </c>
      <c r="D196" s="3">
        <v>28</v>
      </c>
      <c r="E196" s="3" t="inlineStr">
        <is>
          <t xml:space="preserve">Advanced depth, conversion and continuat</t>
        </is>
      </c>
      <c r="F196" s="3" t="inlineStr">
        <is>
          <t xml:space="preserve">Deep work: DSA + design + lab/project</t>
        </is>
      </c>
      <c r="G196" s="3" t="inlineStr">
        <is>
          <t xml:space="preserve">Partition to K Equal Sum Subsets, Shortest Path Visiting All Nodes</t>
        </is>
      </c>
      <c r="H196" s="3" t="inlineStr">
        <is>
          <t xml:space="preserve">Object storage (S3-like) and file storage/sync (Dropbox) HLDs: metadata vs data, chunking, durability, erasure coding.</t>
        </is>
      </c>
      <c r="J196" s="3" t="inlineStr">
        <is>
          <t xml:space="preserve">Not started</t>
        </is>
      </c>
      <c r="M196" s="4">
        <f>HYPERLINK("WEEKS/WEEK_28.md","Week 28 · Day 195")</f>
      </c>
    </row>
    <row r="197">
      <c r="A197" s="3">
        <v>196</v>
      </c>
      <c r="B197" s="2">
        <f>START!$B$4+A197-1</f>
      </c>
      <c r="C197" s="3">
        <f>TEXT(B197,"ddd")</f>
      </c>
      <c r="D197" s="3">
        <v>28</v>
      </c>
      <c r="E197" s="3" t="inlineStr">
        <is>
          <t xml:space="preserve">Advanced depth, conversion and continuat</t>
        </is>
      </c>
      <c r="F197" s="3" t="inlineStr">
        <is>
          <t xml:space="preserve">Month 7 checkpoint</t>
        </is>
      </c>
      <c r="H197" s="3" t="inlineStr">
        <is>
          <t xml:space="preserve">Month 7 test (see checkpoint).</t>
        </is>
      </c>
      <c r="J197" s="3" t="inlineStr">
        <is>
          <t xml:space="preserve">Not started</t>
        </is>
      </c>
      <c r="M197" s="4">
        <f>HYPERLINK("WEEKS/WEEK_28.md","Week 28 · Day 196")</f>
      </c>
    </row>
    <row r="198">
      <c r="A198" s="3">
        <v>197</v>
      </c>
      <c r="B198" s="2">
        <f>START!$B$4+A198-1</f>
      </c>
      <c r="C198" s="3">
        <f>TEXT(B198,"ddd")</f>
      </c>
      <c r="D198" s="3">
        <v>29</v>
      </c>
      <c r="E198" s="3" t="inlineStr">
        <is>
          <t xml:space="preserve">Advanced depth, conversion and continuat</t>
        </is>
      </c>
      <c r="F198" s="3" t="inlineStr">
        <is>
          <t xml:space="preserve">Re-solve failed problems</t>
        </is>
      </c>
      <c r="G198" s="3" t="inlineStr">
        <is>
          <t xml:space="preserve">First Missing Positive, Find the Duplicate Number</t>
        </is>
      </c>
      <c r="H198" s="3" t="inlineStr">
        <is>
          <t xml:space="preserve">Choose the extension: Kubernetes/KEDA or deep .NET diagnostics (by target role)</t>
        </is>
      </c>
      <c r="I198" s="3" t="inlineStr">
        <is>
          <t xml:space="preserve">Why did you choose this extension for your target roles?</t>
        </is>
      </c>
      <c r="J198" s="3" t="inlineStr">
        <is>
          <t xml:space="preserve">Not started</t>
        </is>
      </c>
      <c r="M198" s="4">
        <f>HYPERLINK("WEEKS/WEEK_29.md","Week 29 · Day 197")</f>
      </c>
    </row>
    <row r="199">
      <c r="A199" s="3">
        <v>198</v>
      </c>
      <c r="B199" s="2">
        <f>START!$B$4+A199-1</f>
      </c>
      <c r="C199" s="3">
        <f>TEXT(B199,"ddd")</f>
      </c>
      <c r="D199" s="3">
        <v>29</v>
      </c>
      <c r="E199" s="3" t="inlineStr">
        <is>
          <t xml:space="preserve">Advanced depth, conversion and continuat</t>
        </is>
      </c>
      <c r="F199" s="3" t="inlineStr">
        <is>
          <t xml:space="preserve">Pattern sheet</t>
        </is>
      </c>
      <c r="G199" s="3" t="inlineStr">
        <is>
          <t xml:space="preserve">Container With Most Water, 3Sum</t>
        </is>
      </c>
      <c r="H199" s="3" t="inlineStr">
        <is>
          <t xml:space="preserve">Extension lab, part 1</t>
        </is>
      </c>
      <c r="I199" s="3" t="inlineStr">
        <is>
          <t xml:space="preserve">Explain the extension in 2 minutes.</t>
        </is>
      </c>
      <c r="J199" s="3" t="inlineStr">
        <is>
          <t xml:space="preserve">Not started</t>
        </is>
      </c>
      <c r="M199" s="4">
        <f>HYPERLINK("WEEKS/WEEK_29.md","Week 29 · Day 198")</f>
      </c>
    </row>
    <row r="200">
      <c r="A200" s="3">
        <v>199</v>
      </c>
      <c r="B200" s="2">
        <f>START!$B$4+A200-1</f>
      </c>
      <c r="C200" s="3">
        <f>TEXT(B200,"ddd")</f>
      </c>
      <c r="D200" s="3">
        <v>29</v>
      </c>
      <c r="E200" s="3" t="inlineStr">
        <is>
          <t xml:space="preserve">Advanced depth, conversion and continuat</t>
        </is>
      </c>
      <c r="F200" s="3" t="inlineStr">
        <is>
          <t xml:space="preserve">Algorithm breadth overview</t>
        </is>
      </c>
      <c r="G200" s="3" t="inlineStr">
        <is>
          <t xml:space="preserve">Strongly connected components: Kosaraju and Tarjan, Implement Floyd-Warshall (all pairs)</t>
        </is>
      </c>
      <c r="H200" s="3" t="inlineStr">
        <is>
          <t xml:space="preserve">Search, location and storage breadth</t>
        </is>
      </c>
      <c r="I200" s="3" t="inlineStr">
        <is>
          <t xml:space="preserve">When would you use a trie service vs a search engine?</t>
        </is>
      </c>
      <c r="J200" s="3" t="inlineStr">
        <is>
          <t xml:space="preserve">Not started</t>
        </is>
      </c>
      <c r="M200" s="4">
        <f>HYPERLINK("WEEKS/WEEK_29.md","Week 29 · Day 199")</f>
      </c>
    </row>
    <row r="201">
      <c r="A201" s="3">
        <v>200</v>
      </c>
      <c r="B201" s="2">
        <f>START!$B$4+A201-1</f>
      </c>
      <c r="C201" s="3">
        <f>TEXT(B201,"ddd")</f>
      </c>
      <c r="D201" s="3">
        <v>29</v>
      </c>
      <c r="E201" s="3" t="inlineStr">
        <is>
          <t xml:space="preserve">Advanced depth, conversion and continuat</t>
        </is>
      </c>
      <c r="F201" s="3" t="inlineStr">
        <is>
          <t xml:space="preserve">Remaining patterns</t>
        </is>
      </c>
      <c r="G201" s="3" t="inlineStr">
        <is>
          <t xml:space="preserve">Merge Intervals, Non-overlapping Intervals</t>
        </is>
      </c>
      <c r="H201" s="3" t="inlineStr">
        <is>
          <t xml:space="preserve">Remaining patterns: Interpreter and the rest of GoF; CQRS, event sourcing, DDD basics</t>
        </is>
      </c>
      <c r="I201" s="3" t="inlineStr">
        <is>
          <t xml:space="preserve">When is CQRS over-engineering?</t>
        </is>
      </c>
      <c r="J201" s="3" t="inlineStr">
        <is>
          <t xml:space="preserve">Not started</t>
        </is>
      </c>
      <c r="M201" s="4">
        <f>HYPERLINK("WEEKS/WEEK_29.md","Week 29 · Day 200")</f>
      </c>
    </row>
    <row r="202">
      <c r="A202" s="3">
        <v>201</v>
      </c>
      <c r="B202" s="2">
        <f>START!$B$4+A202-1</f>
      </c>
      <c r="C202" s="3">
        <f>TEXT(B202,"ddd")</f>
      </c>
      <c r="D202" s="3">
        <v>29</v>
      </c>
      <c r="E202" s="3" t="inlineStr">
        <is>
          <t xml:space="preserve">Advanced depth, conversion and continuat</t>
        </is>
      </c>
      <c r="F202" s="3" t="inlineStr">
        <is>
          <t xml:space="preserve">Repair and retrieval</t>
        </is>
      </c>
      <c r="G202" s="3" t="inlineStr">
        <is>
          <t xml:space="preserve">re-solves + </t>
        </is>
      </c>
      <c r="H202" s="3" t="inlineStr">
        <is>
          <t xml:space="preserve">re-explain the week</t>
        </is>
      </c>
      <c r="J202" s="3" t="inlineStr">
        <is>
          <t xml:space="preserve">Not started</t>
        </is>
      </c>
      <c r="M202" s="4">
        <f>HYPERLINK("WEEKS/WEEK_29.md","Week 29 · Day 201")</f>
      </c>
    </row>
    <row r="203">
      <c r="A203" s="3">
        <v>202</v>
      </c>
      <c r="B203" s="2">
        <f>START!$B$4+A203-1</f>
      </c>
      <c r="C203" s="3">
        <f>TEXT(B203,"ddd")</f>
      </c>
      <c r="D203" s="3">
        <v>29</v>
      </c>
      <c r="E203" s="3" t="inlineStr">
        <is>
          <t xml:space="preserve">Advanced depth, conversion and continuat</t>
        </is>
      </c>
      <c r="F203" s="3" t="inlineStr">
        <is>
          <t xml:space="preserve">Deep work: DSA + design + lab/project</t>
        </is>
      </c>
      <c r="G203" s="3" t="inlineStr">
        <is>
          <t xml:space="preserve">Maximal Rectangle, Matrix chain multiplication (interval DP)</t>
        </is>
      </c>
      <c r="H203" s="3" t="inlineStr">
        <is>
          <t xml:space="preserve">Redo SD1–SD3 (URL shortener, rate limiter, notification) from a blank page; compare with your Month 3 notes.</t>
        </is>
      </c>
      <c r="J203" s="3" t="inlineStr">
        <is>
          <t xml:space="preserve">Not started</t>
        </is>
      </c>
      <c r="M203" s="4">
        <f>HYPERLINK("WEEKS/WEEK_29.md","Week 29 · Day 202")</f>
      </c>
    </row>
    <row r="204">
      <c r="A204" s="3">
        <v>203</v>
      </c>
      <c r="B204" s="2">
        <f>START!$B$4+A204-1</f>
      </c>
      <c r="C204" s="3">
        <f>TEXT(B204,"ddd")</f>
      </c>
      <c r="D204" s="3">
        <v>29</v>
      </c>
      <c r="E204" s="3" t="inlineStr">
        <is>
          <t xml:space="preserve">Advanced depth, conversion and continuat</t>
        </is>
      </c>
      <c r="F204" s="3" t="inlineStr">
        <is>
          <t xml:space="preserve">Weekly test, review, project, stories</t>
        </is>
      </c>
      <c r="H204" s="3" t="inlineStr">
        <is>
          <t xml:space="preserve">Update the README and resume only with what you built and measured.</t>
        </is>
      </c>
      <c r="J204" s="3" t="inlineStr">
        <is>
          <t xml:space="preserve">Not started</t>
        </is>
      </c>
      <c r="M204" s="4">
        <f>HYPERLINK("WEEKS/WEEK_29.md","Week 29 · Day 203")</f>
      </c>
    </row>
    <row r="205">
      <c r="A205" s="3">
        <v>204</v>
      </c>
      <c r="B205" s="2">
        <f>START!$B$4+A205-1</f>
      </c>
      <c r="C205" s="3">
        <f>TEXT(B205,"ddd")</f>
      </c>
      <c r="D205" s="3">
        <v>30</v>
      </c>
      <c r="E205" s="3" t="inlineStr">
        <is>
          <t xml:space="preserve">Advanced depth, conversion and continuat</t>
        </is>
      </c>
      <c r="F205" s="3" t="inlineStr">
        <is>
          <t xml:space="preserve">Coding round one</t>
        </is>
      </c>
      <c r="G205" s="3" t="inlineStr">
        <is>
          <t xml:space="preserve">Median of Two Sorted Arrays, Split Array Largest Sum</t>
        </is>
      </c>
      <c r="H205" s="3" t="inlineStr">
        <is>
          <t xml:space="preserve">Oral monologue: C# and .NET (45 minutes, recorded)</t>
        </is>
      </c>
      <c r="I205" s="3" t="inlineStr">
        <is>
          <t xml:space="preserve">Explain the .NET request pipeline end to end.</t>
        </is>
      </c>
      <c r="J205" s="3" t="inlineStr">
        <is>
          <t xml:space="preserve">Not started</t>
        </is>
      </c>
      <c r="M205" s="4">
        <f>HYPERLINK("WEEKS/WEEK_30.md","Week 30 · Day 204")</f>
      </c>
    </row>
    <row r="206">
      <c r="A206" s="3">
        <v>205</v>
      </c>
      <c r="B206" s="2">
        <f>START!$B$4+A206-1</f>
      </c>
      <c r="C206" s="3">
        <f>TEXT(B206,"ddd")</f>
      </c>
      <c r="D206" s="3">
        <v>30</v>
      </c>
      <c r="E206" s="3" t="inlineStr">
        <is>
          <t xml:space="preserve">Advanced depth, conversion and continuat</t>
        </is>
      </c>
      <c r="F206" s="3" t="inlineStr">
        <is>
          <t xml:space="preserve">Repair round one</t>
        </is>
      </c>
      <c r="G206" s="3" t="inlineStr">
        <is>
          <t xml:space="preserve">Count of Smaller Numbers After Self, Sliding Window Maximum</t>
        </is>
      </c>
      <c r="H206" s="3" t="inlineStr">
        <is>
          <t xml:space="preserve">Oral monologue: databases</t>
        </is>
      </c>
      <c r="I206" s="3" t="inlineStr">
        <is>
          <t xml:space="preserve">Explain isolation levels per engine.</t>
        </is>
      </c>
      <c r="J206" s="3" t="inlineStr">
        <is>
          <t xml:space="preserve">Not started</t>
        </is>
      </c>
      <c r="M206" s="4">
        <f>HYPERLINK("WEEKS/WEEK_30.md","Week 30 · Day 205")</f>
      </c>
    </row>
    <row r="207">
      <c r="A207" s="3">
        <v>206</v>
      </c>
      <c r="B207" s="2">
        <f>START!$B$4+A207-1</f>
      </c>
      <c r="C207" s="3">
        <f>TEXT(B207,"ddd")</f>
      </c>
      <c r="D207" s="3">
        <v>30</v>
      </c>
      <c r="E207" s="3" t="inlineStr">
        <is>
          <t xml:space="preserve">Advanced depth, conversion and continuat</t>
        </is>
      </c>
      <c r="F207" s="3" t="inlineStr">
        <is>
          <t xml:space="preserve">Coding round two</t>
        </is>
      </c>
      <c r="G207" s="3" t="inlineStr">
        <is>
          <t xml:space="preserve">Critical Connections in a Network, Swim in Rising Water</t>
        </is>
      </c>
      <c r="H207" s="3" t="inlineStr">
        <is>
          <t xml:space="preserve">Oral monologue: networking and OS</t>
        </is>
      </c>
      <c r="I207" s="3" t="inlineStr">
        <is>
          <t xml:space="preserve">What happens when you type a URL?</t>
        </is>
      </c>
      <c r="J207" s="3" t="inlineStr">
        <is>
          <t xml:space="preserve">Not started</t>
        </is>
      </c>
      <c r="M207" s="4">
        <f>HYPERLINK("WEEKS/WEEK_30.md","Week 30 · Day 206")</f>
      </c>
    </row>
    <row r="208">
      <c r="A208" s="3">
        <v>207</v>
      </c>
      <c r="B208" s="2">
        <f>START!$B$4+A208-1</f>
      </c>
      <c r="C208" s="3">
        <f>TEXT(B208,"ddd")</f>
      </c>
      <c r="D208" s="3">
        <v>30</v>
      </c>
      <c r="E208" s="3" t="inlineStr">
        <is>
          <t xml:space="preserve">Advanced depth, conversion and continuat</t>
        </is>
      </c>
      <c r="F208" s="3" t="inlineStr">
        <is>
          <t xml:space="preserve">Experience and debugging round</t>
        </is>
      </c>
      <c r="G208" s="3" t="inlineStr">
        <is>
          <t xml:space="preserve">Insert Delete GetRandom O(1), Time Based Key-Value Store</t>
        </is>
      </c>
      <c r="H208" s="3" t="inlineStr">
        <is>
          <t xml:space="preserve">Oral monologue: distributed systems; resume and application refresh</t>
        </is>
      </c>
      <c r="I208" s="3" t="inlineStr">
        <is>
          <t xml:space="preserve">Explain at-least-once delivery and idempotency.</t>
        </is>
      </c>
      <c r="J208" s="3" t="inlineStr">
        <is>
          <t xml:space="preserve">Not started</t>
        </is>
      </c>
      <c r="M208" s="4">
        <f>HYPERLINK("WEEKS/WEEK_30.md","Week 30 · Day 207")</f>
      </c>
    </row>
    <row r="209">
      <c r="A209" s="3">
        <v>208</v>
      </c>
      <c r="B209" s="2">
        <f>START!$B$4+A209-1</f>
      </c>
      <c r="C209" s="3">
        <f>TEXT(B209,"ddd")</f>
      </c>
      <c r="D209" s="3">
        <v>30</v>
      </c>
      <c r="E209" s="3" t="inlineStr">
        <is>
          <t xml:space="preserve">Advanced depth, conversion and continuat</t>
        </is>
      </c>
      <c r="F209" s="3" t="inlineStr">
        <is>
          <t xml:space="preserve">Repair and retrieval</t>
        </is>
      </c>
      <c r="G209" s="3" t="inlineStr">
        <is>
          <t xml:space="preserve">re-solves + </t>
        </is>
      </c>
      <c r="H209" s="3" t="inlineStr">
        <is>
          <t xml:space="preserve">re-explain the week</t>
        </is>
      </c>
      <c r="J209" s="3" t="inlineStr">
        <is>
          <t xml:space="preserve">Not started</t>
        </is>
      </c>
      <c r="M209" s="4">
        <f>HYPERLINK("WEEKS/WEEK_30.md","Week 30 · Day 208")</f>
      </c>
    </row>
    <row r="210">
      <c r="A210" s="3">
        <v>209</v>
      </c>
      <c r="B210" s="2">
        <f>START!$B$4+A210-1</f>
      </c>
      <c r="C210" s="3">
        <f>TEXT(B210,"ddd")</f>
      </c>
      <c r="D210" s="3">
        <v>30</v>
      </c>
      <c r="E210" s="3" t="inlineStr">
        <is>
          <t xml:space="preserve">Advanced depth, conversion and continuat</t>
        </is>
      </c>
      <c r="F210" s="3" t="inlineStr">
        <is>
          <t xml:space="preserve">Deep work: DSA + design + lab/project</t>
        </is>
      </c>
      <c r="G210" s="3" t="inlineStr">
        <is>
          <t xml:space="preserve">Minimum Window Substring, Longest Valid Parentheses</t>
        </is>
      </c>
      <c r="H210" s="3" t="inlineStr">
        <is>
          <t xml:space="preserve">45-minute design mock with a partner, then redo two weak designs.</t>
        </is>
      </c>
      <c r="J210" s="3" t="inlineStr">
        <is>
          <t xml:space="preserve">Not started</t>
        </is>
      </c>
      <c r="M210" s="4">
        <f>HYPERLINK("WEEKS/WEEK_30.md","Week 30 · Day 209")</f>
      </c>
    </row>
    <row r="211">
      <c r="A211" s="3">
        <v>210</v>
      </c>
      <c r="B211" s="2">
        <f>START!$B$4+A211-1</f>
      </c>
      <c r="C211" s="3">
        <f>TEXT(B211,"ddd")</f>
      </c>
      <c r="D211" s="3">
        <v>30</v>
      </c>
      <c r="E211" s="3" t="inlineStr">
        <is>
          <t xml:space="preserve">Advanced depth, conversion and continuat</t>
        </is>
      </c>
      <c r="F211" s="3" t="inlineStr">
        <is>
          <t xml:space="preserve">Weekly test, review, project, stories</t>
        </is>
      </c>
      <c r="H211" s="3" t="inlineStr">
        <is>
          <t xml:space="preserve">Write the top three gaps and their repair tasks for Week 31.</t>
        </is>
      </c>
      <c r="J211" s="3" t="inlineStr">
        <is>
          <t xml:space="preserve">Not started</t>
        </is>
      </c>
      <c r="M211" s="4">
        <f>HYPERLINK("WEEKS/WEEK_30.md","Week 30 · Day 210")</f>
      </c>
    </row>
    <row r="212">
      <c r="A212" s="3">
        <v>211</v>
      </c>
      <c r="B212" s="2">
        <f>START!$B$4+A212-1</f>
      </c>
      <c r="C212" s="3">
        <f>TEXT(B212,"ddd")</f>
      </c>
      <c r="D212" s="3">
        <v>31</v>
      </c>
      <c r="E212" s="3" t="inlineStr">
        <is>
          <t xml:space="preserve">Advanced depth, conversion and continuat</t>
        </is>
      </c>
      <c r="F212" s="3" t="inlineStr">
        <is>
          <t xml:space="preserve">Least-practised family</t>
        </is>
      </c>
      <c r="G212" s="3" t="inlineStr">
        <is>
          <t xml:space="preserve">Clone Graph, Accounts Merge</t>
        </is>
      </c>
      <c r="H212" s="3" t="inlineStr">
        <is>
          <t xml:space="preserve">Role-specific technical review for your active interviews</t>
        </is>
      </c>
      <c r="I212" s="3" t="inlineStr">
        <is>
          <t xml:space="preserve">What will this company's loop test, according to the recruiter?</t>
        </is>
      </c>
      <c r="J212" s="3" t="inlineStr">
        <is>
          <t xml:space="preserve">Not started</t>
        </is>
      </c>
      <c r="M212" s="4">
        <f>HYPERLINK("WEEKS/WEEK_31.md","Week 31 · Day 211")</f>
      </c>
    </row>
    <row r="213">
      <c r="A213" s="3">
        <v>212</v>
      </c>
      <c r="B213" s="2">
        <f>START!$B$4+A213-1</f>
      </c>
      <c r="C213" s="3">
        <f>TEXT(B213,"ddd")</f>
      </c>
      <c r="D213" s="3">
        <v>31</v>
      </c>
      <c r="E213" s="3" t="inlineStr">
        <is>
          <t xml:space="preserve">Advanced depth, conversion and continuat</t>
        </is>
      </c>
      <c r="F213" s="3" t="inlineStr">
        <is>
          <t xml:space="preserve">Interview feedback repair</t>
        </is>
      </c>
      <c r="G213" s="3" t="inlineStr">
        <is>
          <t xml:space="preserve">LRU Cache, Find Median from Data Stream</t>
        </is>
      </c>
      <c r="H213" s="3" t="inlineStr">
        <is>
          <t xml:space="preserve">Application follow-up and scheduling</t>
        </is>
      </c>
      <c r="I213" s="3" t="inlineStr">
        <is>
          <t xml:space="preserve">How do you analyse an interview afterwards?</t>
        </is>
      </c>
      <c r="J213" s="3" t="inlineStr">
        <is>
          <t xml:space="preserve">Not started</t>
        </is>
      </c>
      <c r="M213" s="4">
        <f>HYPERLINK("WEEKS/WEEK_31.md","Week 31 · Day 212")</f>
      </c>
    </row>
    <row r="214">
      <c r="A214" s="3">
        <v>213</v>
      </c>
      <c r="B214" s="2">
        <f>START!$B$4+A214-1</f>
      </c>
      <c r="C214" s="3">
        <f>TEXT(B214,"ddd")</f>
      </c>
      <c r="D214" s="3">
        <v>31</v>
      </c>
      <c r="E214" s="3" t="inlineStr">
        <is>
          <t xml:space="preserve">Advanced depth, conversion and continuat</t>
        </is>
      </c>
      <c r="F214" s="3" t="inlineStr">
        <is>
          <t xml:space="preserve">Follow-up adaptation</t>
        </is>
      </c>
      <c r="G214" s="3" t="inlineStr">
        <is>
          <t xml:space="preserve">Top K Frequent Elements, Kth Largest Element in a Stream</t>
        </is>
      </c>
      <c r="H214" s="3" t="inlineStr">
        <is>
          <t xml:space="preserve">Offer literacy: compensation, levels, negotiation basics</t>
        </is>
      </c>
      <c r="I214" s="3" t="inlineStr">
        <is>
          <t xml:space="preserve">What do you say when asked for your expected salary?</t>
        </is>
      </c>
      <c r="J214" s="3" t="inlineStr">
        <is>
          <t xml:space="preserve">Not started</t>
        </is>
      </c>
      <c r="M214" s="4">
        <f>HYPERLINK("WEEKS/WEEK_31.md","Week 31 · Day 213")</f>
      </c>
    </row>
    <row r="215">
      <c r="A215" s="3">
        <v>214</v>
      </c>
      <c r="B215" s="2">
        <f>START!$B$4+A215-1</f>
      </c>
      <c r="C215" s="3">
        <f>TEXT(B215,"ddd")</f>
      </c>
      <c r="D215" s="3">
        <v>31</v>
      </c>
      <c r="E215" s="3" t="inlineStr">
        <is>
          <t xml:space="preserve">Advanced depth, conversion and continuat</t>
        </is>
      </c>
      <c r="F215" s="3" t="inlineStr">
        <is>
          <t xml:space="preserve">Timed confidence check</t>
        </is>
      </c>
      <c r="G215" s="3" t="inlineStr">
        <is>
          <t xml:space="preserve">Merge Intervals, Number of Islands</t>
        </is>
      </c>
      <c r="H215" s="3" t="inlineStr">
        <is>
          <t xml:space="preserve">Relocation — only if still relevant (verify routes first)</t>
        </is>
      </c>
      <c r="I215" s="3" t="inlineStr">
        <is>
          <t xml:space="preserve">Why do you want to move to this country? (only if relevant)</t>
        </is>
      </c>
      <c r="J215" s="3" t="inlineStr">
        <is>
          <t xml:space="preserve">Not started</t>
        </is>
      </c>
      <c r="M215" s="4">
        <f>HYPERLINK("WEEKS/WEEK_31.md","Week 31 · Day 214")</f>
      </c>
    </row>
    <row r="216">
      <c r="A216" s="3">
        <v>215</v>
      </c>
      <c r="B216" s="2">
        <f>START!$B$4+A216-1</f>
      </c>
      <c r="C216" s="3">
        <f>TEXT(B216,"ddd")</f>
      </c>
      <c r="D216" s="3">
        <v>31</v>
      </c>
      <c r="E216" s="3" t="inlineStr">
        <is>
          <t xml:space="preserve">Advanced depth, conversion and continuat</t>
        </is>
      </c>
      <c r="F216" s="3" t="inlineStr">
        <is>
          <t xml:space="preserve">Repair and retrieval</t>
        </is>
      </c>
      <c r="G216" s="3" t="inlineStr">
        <is>
          <t xml:space="preserve">re-solves + </t>
        </is>
      </c>
      <c r="H216" s="3" t="inlineStr">
        <is>
          <t xml:space="preserve">re-explain the week</t>
        </is>
      </c>
      <c r="J216" s="3" t="inlineStr">
        <is>
          <t xml:space="preserve">Not started</t>
        </is>
      </c>
      <c r="M216" s="4">
        <f>HYPERLINK("WEEKS/WEEK_31.md","Week 31 · Day 215")</f>
      </c>
    </row>
    <row r="217">
      <c r="A217" s="3">
        <v>216</v>
      </c>
      <c r="B217" s="2">
        <f>START!$B$4+A217-1</f>
      </c>
      <c r="C217" s="3">
        <f>TEXT(B217,"ddd")</f>
      </c>
      <c r="D217" s="3">
        <v>31</v>
      </c>
      <c r="E217" s="3" t="inlineStr">
        <is>
          <t xml:space="preserve">Advanced depth, conversion and continuat</t>
        </is>
      </c>
      <c r="F217" s="3" t="inlineStr">
        <is>
          <t xml:space="preserve">Deep work: DSA + design + lab/project</t>
        </is>
      </c>
      <c r="G217" s="3" t="inlineStr">
        <is>
          <t xml:space="preserve">Binary Tree Maximum Path Sum, Edit Distance</t>
        </is>
      </c>
      <c r="H217" s="3" t="inlineStr">
        <is>
          <t xml:space="preserve">Redo three designs with changed requirements.</t>
        </is>
      </c>
      <c r="J217" s="3" t="inlineStr">
        <is>
          <t xml:space="preserve">Not started</t>
        </is>
      </c>
      <c r="M217" s="4">
        <f>HYPERLINK("WEEKS/WEEK_31.md","Week 31 · Day 216")</f>
      </c>
    </row>
    <row r="218">
      <c r="A218" s="3">
        <v>217</v>
      </c>
      <c r="B218" s="2">
        <f>START!$B$4+A218-1</f>
      </c>
      <c r="C218" s="3">
        <f>TEXT(B218,"ddd")</f>
      </c>
      <c r="D218" s="3">
        <v>31</v>
      </c>
      <c r="E218" s="3" t="inlineStr">
        <is>
          <t xml:space="preserve">Advanced depth, conversion and continuat</t>
        </is>
      </c>
      <c r="F218" s="3" t="inlineStr">
        <is>
          <t xml:space="preserve">Weekly test, review, project, stories</t>
        </is>
      </c>
      <c r="H218" s="3" t="inlineStr">
        <is>
          <t xml:space="preserve">Weekly review of interviews and applications.</t>
        </is>
      </c>
      <c r="J218" s="3" t="inlineStr">
        <is>
          <t xml:space="preserve">Not started</t>
        </is>
      </c>
      <c r="M218" s="4">
        <f>HYPERLINK("WEEKS/WEEK_31.md","Week 31 · Day 217")</f>
      </c>
    </row>
    <row r="219">
      <c r="A219" s="3">
        <v>218</v>
      </c>
      <c r="B219" s="2">
        <f>START!$B$4+A219-1</f>
      </c>
      <c r="C219" s="3">
        <f>TEXT(B219,"ddd")</f>
      </c>
      <c r="D219" s="3">
        <v>32</v>
      </c>
      <c r="E219" s="3" t="inlineStr">
        <is>
          <t xml:space="preserve">Advanced depth, conversion and continuat</t>
        </is>
      </c>
      <c r="F219" s="3" t="inlineStr">
        <is>
          <t xml:space="preserve">Core recall check</t>
        </is>
      </c>
      <c r="G219" s="3" t="inlineStr">
        <is>
          <t xml:space="preserve">Two Sum, Reverse Linked List</t>
        </is>
      </c>
      <c r="H219" s="3" t="inlineStr">
        <is>
          <t xml:space="preserve">C#/.NET/SQL recap with the rapid revision sheet</t>
        </is>
      </c>
      <c r="I219" s="3" t="inlineStr">
        <is>
          <t xml:space="preserve">What is boxing and when does it happen?</t>
        </is>
      </c>
      <c r="J219" s="3" t="inlineStr">
        <is>
          <t xml:space="preserve">Not started</t>
        </is>
      </c>
      <c r="M219" s="4">
        <f>HYPERLINK("WEEKS/WEEK_32.md","Week 32 · Day 218")</f>
      </c>
    </row>
    <row r="220">
      <c r="A220" s="3">
        <v>219</v>
      </c>
      <c r="B220" s="2">
        <f>START!$B$4+A220-1</f>
      </c>
      <c r="C220" s="3">
        <f>TEXT(B220,"ddd")</f>
      </c>
      <c r="D220" s="3">
        <v>32</v>
      </c>
      <c r="E220" s="3" t="inlineStr">
        <is>
          <t xml:space="preserve">Advanced depth, conversion and continuat</t>
        </is>
      </c>
      <c r="F220" s="3" t="inlineStr">
        <is>
          <t xml:space="preserve">Independent mixed assessment</t>
        </is>
      </c>
      <c r="G220" s="3" t="inlineStr">
        <is>
          <t xml:space="preserve">Subarray Sum Equals K, Binary Tree Level Order Traversal</t>
        </is>
      </c>
      <c r="H220" s="3" t="inlineStr">
        <is>
          <t xml:space="preserve">Negotiation preparation: level first, timelines, offers in writing</t>
        </is>
      </c>
      <c r="I220" s="3" t="inlineStr">
        <is>
          <t xml:space="preserve">How do you ask for more time to decide?</t>
        </is>
      </c>
      <c r="J220" s="3" t="inlineStr">
        <is>
          <t xml:space="preserve">Not started</t>
        </is>
      </c>
      <c r="M220" s="4">
        <f>HYPERLINK("WEEKS/WEEK_32.md","Week 32 · Day 219")</f>
      </c>
    </row>
    <row r="221">
      <c r="A221" s="3">
        <v>220</v>
      </c>
      <c r="B221" s="2">
        <f>START!$B$4+A221-1</f>
      </c>
      <c r="C221" s="3">
        <f>TEXT(B221,"ddd")</f>
      </c>
      <c r="D221" s="3">
        <v>32</v>
      </c>
      <c r="E221" s="3" t="inlineStr">
        <is>
          <t xml:space="preserve">Advanced depth, conversion and continuat</t>
        </is>
      </c>
      <c r="F221" s="3" t="inlineStr">
        <is>
          <t xml:space="preserve">Final repair</t>
        </is>
      </c>
      <c r="G221" s="3" t="inlineStr">
        <is>
          <t xml:space="preserve">Coin Change, Course Schedule</t>
        </is>
      </c>
      <c r="H221" s="3" t="inlineStr">
        <is>
          <t xml:space="preserve">Reliability, security and AI recap</t>
        </is>
      </c>
      <c r="I221" s="3" t="inlineStr">
        <is>
          <t xml:space="preserve">How does your project behave when the database is down?</t>
        </is>
      </c>
      <c r="J221" s="3" t="inlineStr">
        <is>
          <t xml:space="preserve">Not started</t>
        </is>
      </c>
      <c r="M221" s="4">
        <f>HYPERLINK("WEEKS/WEEK_32.md","Week 32 · Day 220")</f>
      </c>
    </row>
    <row r="222">
      <c r="A222" s="3">
        <v>221</v>
      </c>
      <c r="B222" s="2">
        <f>START!$B$4+A222-1</f>
      </c>
      <c r="C222" s="3">
        <f>TEXT(B222,"ddd")</f>
      </c>
      <c r="D222" s="3">
        <v>32</v>
      </c>
      <c r="E222" s="3" t="inlineStr">
        <is>
          <t xml:space="preserve">Advanced depth, conversion and continuat</t>
        </is>
      </c>
      <c r="F222" s="3" t="inlineStr">
        <is>
          <t xml:space="preserve">Continue from evidence</t>
        </is>
      </c>
      <c r="G222" s="3" t="inlineStr">
        <is>
          <t xml:space="preserve">LRU Cache, Longest Substring Without Repeating Characters</t>
        </is>
      </c>
      <c r="H222" s="3" t="inlineStr">
        <is>
          <t xml:space="preserve">Portfolio and career check; continuation plan</t>
        </is>
      </c>
      <c r="I222" s="3" t="inlineStr">
        <is>
          <t xml:space="preserve">What did these eight months change in how you engineer?</t>
        </is>
      </c>
      <c r="J222" s="3" t="inlineStr">
        <is>
          <t xml:space="preserve">Not started</t>
        </is>
      </c>
      <c r="M222" s="4">
        <f>HYPERLINK("WEEKS/WEEK_32.md","Week 32 · Day 221")</f>
      </c>
    </row>
    <row r="223">
      <c r="A223" s="3">
        <v>222</v>
      </c>
      <c r="B223" s="2">
        <f>START!$B$4+A223-1</f>
      </c>
      <c r="C223" s="3">
        <f>TEXT(B223,"ddd")</f>
      </c>
      <c r="D223" s="3">
        <v>32</v>
      </c>
      <c r="E223" s="3" t="inlineStr">
        <is>
          <t xml:space="preserve">Advanced depth, conversion and continuat</t>
        </is>
      </c>
      <c r="F223" s="3" t="inlineStr">
        <is>
          <t xml:space="preserve">Repair and retrieval</t>
        </is>
      </c>
      <c r="G223" s="3" t="inlineStr">
        <is>
          <t xml:space="preserve">re-solves + </t>
        </is>
      </c>
      <c r="H223" s="3" t="inlineStr">
        <is>
          <t xml:space="preserve">re-explain the week</t>
        </is>
      </c>
      <c r="J223" s="3" t="inlineStr">
        <is>
          <t xml:space="preserve">Not started</t>
        </is>
      </c>
      <c r="M223" s="4">
        <f>HYPERLINK("WEEKS/WEEK_32.md","Week 32 · Day 222")</f>
      </c>
    </row>
    <row r="224">
      <c r="A224" s="3">
        <v>223</v>
      </c>
      <c r="B224" s="2">
        <f>START!$B$4+A224-1</f>
      </c>
      <c r="C224" s="3">
        <f>TEXT(B224,"ddd")</f>
      </c>
      <c r="D224" s="3">
        <v>32</v>
      </c>
      <c r="E224" s="3" t="inlineStr">
        <is>
          <t xml:space="preserve">Advanced depth, conversion and continuat</t>
        </is>
      </c>
      <c r="F224" s="3" t="inlineStr">
        <is>
          <t xml:space="preserve">Deep work: DSA + design + lab/project</t>
        </is>
      </c>
      <c r="H224" s="3" t="inlineStr">
        <is>
          <t xml:space="preserve">Final design mock on a random anchor design.</t>
        </is>
      </c>
      <c r="J224" s="3" t="inlineStr">
        <is>
          <t xml:space="preserve">Not started</t>
        </is>
      </c>
      <c r="M224" s="4">
        <f>HYPERLINK("WEEKS/WEEK_32.md","Week 32 · Day 223")</f>
      </c>
    </row>
    <row r="225">
      <c r="A225" s="3">
        <v>224</v>
      </c>
      <c r="B225" s="2">
        <f>START!$B$4+A225-1</f>
      </c>
      <c r="C225" s="3">
        <f>TEXT(B225,"ddd")</f>
      </c>
      <c r="D225" s="3">
        <v>32</v>
      </c>
      <c r="E225" s="3" t="inlineStr">
        <is>
          <t xml:space="preserve">Advanced depth, conversion and continuat</t>
        </is>
      </c>
      <c r="F225" s="3" t="inlineStr">
        <is>
          <t xml:space="preserve">Week 32 — final checkpoint</t>
        </is>
      </c>
      <c r="H225" s="3" t="inlineStr">
        <is>
          <t xml:space="preserve">Month 8 final test (see checkpoint).</t>
        </is>
      </c>
      <c r="J225" s="3" t="inlineStr">
        <is>
          <t xml:space="preserve">Not started</t>
        </is>
      </c>
      <c r="M225" s="4">
        <f>HYPERLINK("WEEKS/WEEK_32.md","Week 32 · Day 224")</f>
      </c>
    </row>
  </sheetData>
  <dataValidations count="2">
    <dataValidation type="list" allowBlank="1" showDropDown="0" sqref="J2:J225">
      <formula1>"Not started,In progress,Done,Needs review,Deferred"</formula1>
    </dataValidation>
    <dataValidation type="list" allowBlank="1" showDropDown="0" sqref="L2:L225">
      <formula1>"Pass,Partial,Fail"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46" customWidth="1"/>
    <col min="3" max="3" width="12" customWidth="1"/>
    <col min="4" max="4" width="18" customWidth="1"/>
    <col min="5" max="5" width="13" customWidth="1"/>
    <col min="6" max="6" width="14" customWidth="1"/>
    <col min="7" max="7" width="30" customWidth="1"/>
    <col min="8" max="8" width="30" customWidth="1"/>
    <col min="9" max="9" width="30" customWidth="1"/>
    <col min="10" max="10" width="16" customWidth="1"/>
    <col min="11" max="11" width="30" customWidth="1"/>
    <col min="12" max="12" width="13" customWidth="1"/>
    <col min="13" max="13" width="13" customWidth="1"/>
    <col min="14" max="14" width="13" customWidth="1"/>
    <col min="15" max="15" width="13" customWidth="1"/>
    <col min="16" max="16" width="24" customWidth="1"/>
  </cols>
  <sheetData>
    <row r="1">
      <c r="A1" s="1" t="inlineStr">
        <is>
          <t xml:space="preserve">Planned day</t>
        </is>
      </c>
      <c r="B1" s="1" t="inlineStr">
        <is>
          <t xml:space="preserve">Problem</t>
        </is>
      </c>
      <c r="C1" s="1" t="inlineStr">
        <is>
          <t xml:space="preserve">Difficulty</t>
        </is>
      </c>
      <c r="D1" s="1" t="inlineStr">
        <is>
          <t xml:space="preserve">Pattern</t>
        </is>
      </c>
      <c r="E1" s="1" t="inlineStr">
        <is>
          <t xml:space="preserve">Result</t>
        </is>
      </c>
      <c r="F1" s="1" t="inlineStr">
        <is>
          <t xml:space="preserve">Solved on</t>
        </is>
      </c>
      <c r="G1" s="1" t="inlineStr">
        <is>
          <t xml:space="preserve">Brute force</t>
        </is>
      </c>
      <c r="H1" s="1" t="inlineStr">
        <is>
          <t xml:space="preserve">Insight (one sentence)</t>
        </is>
      </c>
      <c r="I1" s="1" t="inlineStr">
        <is>
          <t xml:space="preserve">Invariant</t>
        </is>
      </c>
      <c r="J1" s="1" t="inlineStr">
        <is>
          <t xml:space="preserve">Time / space</t>
        </is>
      </c>
      <c r="K1" s="1" t="inlineStr">
        <is>
          <t xml:space="preserve">One variation</t>
        </is>
      </c>
      <c r="L1" s="1" t="inlineStr">
        <is>
          <t xml:space="preserve">Re-solve D+1</t>
        </is>
      </c>
      <c r="M1" s="1" t="inlineStr">
        <is>
          <t xml:space="preserve">D+3</t>
        </is>
      </c>
      <c r="N1" s="1" t="inlineStr">
        <is>
          <t xml:space="preserve">D+7</t>
        </is>
      </c>
      <c r="O1" s="1" t="inlineStr">
        <is>
          <t xml:space="preserve">D+14</t>
        </is>
      </c>
      <c r="P1" s="1" t="inlineStr">
        <is>
          <t xml:space="preserve">Re-solve results</t>
        </is>
      </c>
    </row>
    <row r="2">
      <c r="A2" s="3">
        <v>1</v>
      </c>
      <c r="B2" s="4">
        <f>HYPERLINK("PROBLEMS.md#x-array-basics","Array basics: print, sum, max, min, count of a target (handle empty input)")</f>
      </c>
      <c r="C2" s="3" t="inlineStr">
        <is>
          <t xml:space="preserve">Custom</t>
        </is>
      </c>
      <c r="D2" s="3" t="inlineStr">
        <is>
          <t xml:space="preserve">Arrays</t>
        </is>
      </c>
      <c r="E2" s="3" t="inlineStr">
        <is>
          <t xml:space="preserve">Not started</t>
        </is>
      </c>
      <c r="L2" s="2">
        <f>IF(F2="","",F2+1)</f>
      </c>
      <c r="M2" s="2">
        <f>IF(F2="","",F2+3)</f>
      </c>
      <c r="N2" s="2">
        <f>IF(F2="","",F2+7)</f>
      </c>
      <c r="O2" s="2">
        <f>IF(F2="","",F2+14)</f>
      </c>
    </row>
    <row r="3">
      <c r="A3" s="3">
        <v>2</v>
      </c>
      <c r="B3" s="4">
        <f>HYPERLINK("PROBLEMS.md#x-linear-search","Linear search, first/last occurrence, minimum/maximum with index")</f>
      </c>
      <c r="C3" s="3" t="inlineStr">
        <is>
          <t xml:space="preserve">Custom</t>
        </is>
      </c>
      <c r="D3" s="3" t="inlineStr">
        <is>
          <t xml:space="preserve">Arrays</t>
        </is>
      </c>
      <c r="E3" s="3" t="inlineStr">
        <is>
          <t xml:space="preserve">Not started</t>
        </is>
      </c>
      <c r="L3" s="2">
        <f>IF(F3="","",F3+1)</f>
      </c>
      <c r="M3" s="2">
        <f>IF(F3="","",F3+3)</f>
      </c>
      <c r="N3" s="2">
        <f>IF(F3="","",F3+7)</f>
      </c>
      <c r="O3" s="2">
        <f>IF(F3="","",F3+14)</f>
      </c>
    </row>
    <row r="4">
      <c r="A4" s="3">
        <v>3</v>
      </c>
      <c r="B4" s="4">
        <f>HYPERLINK("PROBLEMS.md#x-reverse","Reverse an array in place with two indexes (0, 1, odd, even lengths)")</f>
      </c>
      <c r="C4" s="3" t="inlineStr">
        <is>
          <t xml:space="preserve">Custom</t>
        </is>
      </c>
      <c r="D4" s="3" t="inlineStr">
        <is>
          <t xml:space="preserve">Arrays</t>
        </is>
      </c>
      <c r="E4" s="3" t="inlineStr">
        <is>
          <t xml:space="preserve">Not started</t>
        </is>
      </c>
      <c r="L4" s="2">
        <f>IF(F4="","",F4+1)</f>
      </c>
      <c r="M4" s="2">
        <f>IF(F4="","",F4+3)</f>
      </c>
      <c r="N4" s="2">
        <f>IF(F4="","",F4+7)</f>
      </c>
      <c r="O4" s="2">
        <f>IF(F4="","",F4+14)</f>
      </c>
    </row>
    <row r="5">
      <c r="A5" s="3">
        <v>4</v>
      </c>
      <c r="B5" s="4">
        <f>HYPERLINK("PROBLEMS.md#x-sorted-second","Check sorted order; second-largest DISTINCT value")</f>
      </c>
      <c r="C5" s="3" t="inlineStr">
        <is>
          <t xml:space="preserve">Custom</t>
        </is>
      </c>
      <c r="D5" s="3" t="inlineStr">
        <is>
          <t xml:space="preserve">Arrays</t>
        </is>
      </c>
      <c r="E5" s="3" t="inlineStr">
        <is>
          <t xml:space="preserve">Not started</t>
        </is>
      </c>
      <c r="L5" s="2">
        <f>IF(F5="","",F5+1)</f>
      </c>
      <c r="M5" s="2">
        <f>IF(F5="","",F5+3)</f>
      </c>
      <c r="N5" s="2">
        <f>IF(F5="","",F5+7)</f>
      </c>
      <c r="O5" s="2">
        <f>IF(F5="","",F5+14)</f>
      </c>
    </row>
    <row r="6">
      <c r="A6" s="3">
        <v>5</v>
      </c>
      <c r="B6" s="4">
        <f>HYPERLINK("https://leetcode.com/problems/concatenation-of-array/","Concatenation of Array (1929)")</f>
      </c>
      <c r="C6" s="3" t="inlineStr">
        <is>
          <t xml:space="preserve">Easy</t>
        </is>
      </c>
      <c r="D6" s="3" t="inlineStr">
        <is>
          <t xml:space="preserve">Arrays</t>
        </is>
      </c>
      <c r="E6" s="3" t="inlineStr">
        <is>
          <t xml:space="preserve">Not started</t>
        </is>
      </c>
      <c r="L6" s="2">
        <f>IF(F6="","",F6+1)</f>
      </c>
      <c r="M6" s="2">
        <f>IF(F6="","",F6+3)</f>
      </c>
      <c r="N6" s="2">
        <f>IF(F6="","",F6+7)</f>
      </c>
      <c r="O6" s="2">
        <f>IF(F6="","",F6+14)</f>
      </c>
    </row>
    <row r="7">
      <c r="A7" s="3">
        <v>5</v>
      </c>
      <c r="B7" s="4">
        <f>HYPERLINK("https://leetcode.com/problems/detect-squares/","Detect Squares (2013)")</f>
      </c>
      <c r="C7" s="3" t="inlineStr">
        <is>
          <t xml:space="preserve">Medium</t>
        </is>
      </c>
      <c r="D7" s="3" t="inlineStr">
        <is>
          <t xml:space="preserve">Hashing</t>
        </is>
      </c>
      <c r="E7" s="3" t="inlineStr">
        <is>
          <t xml:space="preserve">Not started</t>
        </is>
      </c>
      <c r="L7" s="2">
        <f>IF(F7="","",F7+1)</f>
      </c>
      <c r="M7" s="2">
        <f>IF(F7="","",F7+3)</f>
      </c>
      <c r="N7" s="2">
        <f>IF(F7="","",F7+7)</f>
      </c>
      <c r="O7" s="2">
        <f>IF(F7="","",F7+14)</f>
      </c>
    </row>
    <row r="8">
      <c r="A8" s="3">
        <v>6</v>
      </c>
      <c r="B8" s="4">
        <f>HYPERLINK("https://leetcode.com/problems/contains-duplicate/","Contains Duplicate (217)")</f>
      </c>
      <c r="C8" s="3" t="inlineStr">
        <is>
          <t xml:space="preserve">Easy</t>
        </is>
      </c>
      <c r="D8" s="3" t="inlineStr">
        <is>
          <t xml:space="preserve">Hashing</t>
        </is>
      </c>
      <c r="E8" s="3" t="inlineStr">
        <is>
          <t xml:space="preserve">Not started</t>
        </is>
      </c>
      <c r="L8" s="2">
        <f>IF(F8="","",F8+1)</f>
      </c>
      <c r="M8" s="2">
        <f>IF(F8="","",F8+3)</f>
      </c>
      <c r="N8" s="2">
        <f>IF(F8="","",F8+7)</f>
      </c>
      <c r="O8" s="2">
        <f>IF(F8="","",F8+14)</f>
      </c>
    </row>
    <row r="9">
      <c r="A9" s="3">
        <v>6</v>
      </c>
      <c r="B9" s="4">
        <f>HYPERLINK("PROBLEMS.md#x-insert-delete","Insert / delete at an index by shifting, with spare capacity")</f>
      </c>
      <c r="C9" s="3" t="inlineStr">
        <is>
          <t xml:space="preserve">Custom</t>
        </is>
      </c>
      <c r="D9" s="3" t="inlineStr">
        <is>
          <t xml:space="preserve">Arrays</t>
        </is>
      </c>
      <c r="E9" s="3" t="inlineStr">
        <is>
          <t xml:space="preserve">Not started</t>
        </is>
      </c>
      <c r="L9" s="2">
        <f>IF(F9="","",F9+1)</f>
      </c>
      <c r="M9" s="2">
        <f>IF(F9="","",F9+3)</f>
      </c>
      <c r="N9" s="2">
        <f>IF(F9="","",F9+7)</f>
      </c>
      <c r="O9" s="2">
        <f>IF(F9="","",F9+14)</f>
      </c>
    </row>
    <row r="10">
      <c r="A10" s="3">
        <v>8</v>
      </c>
      <c r="B10" s="4">
        <f>HYPERLINK("PROBLEMS.md#x-frequency","Frequency map of an int[] with Dictionary (TryGetValue)")</f>
      </c>
      <c r="C10" s="3" t="inlineStr">
        <is>
          <t xml:space="preserve">Custom</t>
        </is>
      </c>
      <c r="D10" s="3" t="inlineStr">
        <is>
          <t xml:space="preserve">Hashing</t>
        </is>
      </c>
      <c r="E10" s="3" t="inlineStr">
        <is>
          <t xml:space="preserve">Not started</t>
        </is>
      </c>
      <c r="L10" s="2">
        <f>IF(F10="","",F10+1)</f>
      </c>
      <c r="M10" s="2">
        <f>IF(F10="","",F10+3)</f>
      </c>
      <c r="N10" s="2">
        <f>IF(F10="","",F10+7)</f>
      </c>
      <c r="O10" s="2">
        <f>IF(F10="","",F10+14)</f>
      </c>
    </row>
    <row r="11">
      <c r="A11" s="3">
        <v>9</v>
      </c>
      <c r="B11" s="4">
        <f>HYPERLINK("https://leetcode.com/problems/two-sum/","Two Sum (1)")</f>
      </c>
      <c r="C11" s="3" t="inlineStr">
        <is>
          <t xml:space="preserve">Easy</t>
        </is>
      </c>
      <c r="D11" s="3" t="inlineStr">
        <is>
          <t xml:space="preserve">Hashing</t>
        </is>
      </c>
      <c r="E11" s="3" t="inlineStr">
        <is>
          <t xml:space="preserve">Not started</t>
        </is>
      </c>
      <c r="L11" s="2">
        <f>IF(F11="","",F11+1)</f>
      </c>
      <c r="M11" s="2">
        <f>IF(F11="","",F11+3)</f>
      </c>
      <c r="N11" s="2">
        <f>IF(F11="","",F11+7)</f>
      </c>
      <c r="O11" s="2">
        <f>IF(F11="","",F11+14)</f>
      </c>
    </row>
    <row r="12">
      <c r="A12" s="3">
        <v>10</v>
      </c>
      <c r="B12" s="4">
        <f>HYPERLINK("https://leetcode.com/problems/longest-consecutive-sequence/","Longest Consecutive Sequence (128)")</f>
      </c>
      <c r="C12" s="3" t="inlineStr">
        <is>
          <t xml:space="preserve">Medium</t>
        </is>
      </c>
      <c r="D12" s="3" t="inlineStr">
        <is>
          <t xml:space="preserve">Hashing</t>
        </is>
      </c>
      <c r="E12" s="3" t="inlineStr">
        <is>
          <t xml:space="preserve">Not started</t>
        </is>
      </c>
      <c r="L12" s="2">
        <f>IF(F12="","",F12+1)</f>
      </c>
      <c r="M12" s="2">
        <f>IF(F12="","",F12+3)</f>
      </c>
      <c r="N12" s="2">
        <f>IF(F12="","",F12+7)</f>
      </c>
      <c r="O12" s="2">
        <f>IF(F12="","",F12+14)</f>
      </c>
    </row>
    <row r="13">
      <c r="A13" s="3">
        <v>11</v>
      </c>
      <c r="B13" s="4">
        <f>HYPERLINK("https://leetcode.com/problems/remove-element/","Remove Element (27)")</f>
      </c>
      <c r="C13" s="3" t="inlineStr">
        <is>
          <t xml:space="preserve">Easy</t>
        </is>
      </c>
      <c r="D13" s="3" t="inlineStr">
        <is>
          <t xml:space="preserve">Two pointers</t>
        </is>
      </c>
      <c r="E13" s="3" t="inlineStr">
        <is>
          <t xml:space="preserve">Not started</t>
        </is>
      </c>
      <c r="L13" s="2">
        <f>IF(F13="","",F13+1)</f>
      </c>
      <c r="M13" s="2">
        <f>IF(F13="","",F13+3)</f>
      </c>
      <c r="N13" s="2">
        <f>IF(F13="","",F13+7)</f>
      </c>
      <c r="O13" s="2">
        <f>IF(F13="","",F13+14)</f>
      </c>
    </row>
    <row r="14">
      <c r="A14" s="3">
        <v>11</v>
      </c>
      <c r="B14" s="4">
        <f>HYPERLINK("https://leetcode.com/problems/move-zeroes/","Move Zeroes (283)")</f>
      </c>
      <c r="C14" s="3" t="inlineStr">
        <is>
          <t xml:space="preserve">Easy</t>
        </is>
      </c>
      <c r="D14" s="3" t="inlineStr">
        <is>
          <t xml:space="preserve">Two pointers</t>
        </is>
      </c>
      <c r="E14" s="3" t="inlineStr">
        <is>
          <t xml:space="preserve">Not started</t>
        </is>
      </c>
      <c r="L14" s="2">
        <f>IF(F14="","",F14+1)</f>
      </c>
      <c r="M14" s="2">
        <f>IF(F14="","",F14+3)</f>
      </c>
      <c r="N14" s="2">
        <f>IF(F14="","",F14+7)</f>
      </c>
      <c r="O14" s="2">
        <f>IF(F14="","",F14+14)</f>
      </c>
    </row>
    <row r="15">
      <c r="A15" s="3">
        <v>12</v>
      </c>
      <c r="B15" s="4">
        <f>HYPERLINK("https://leetcode.com/problems/range-sum-query-2d-immutable/","Range Sum Query 2D - Immutable (304)")</f>
      </c>
      <c r="C15" s="3" t="inlineStr">
        <is>
          <t xml:space="preserve">Medium</t>
        </is>
      </c>
      <c r="D15" s="3" t="inlineStr">
        <is>
          <t xml:space="preserve">Prefix sum</t>
        </is>
      </c>
      <c r="E15" s="3" t="inlineStr">
        <is>
          <t xml:space="preserve">Not started</t>
        </is>
      </c>
      <c r="L15" s="2">
        <f>IF(F15="","",F15+1)</f>
      </c>
      <c r="M15" s="2">
        <f>IF(F15="","",F15+3)</f>
      </c>
      <c r="N15" s="2">
        <f>IF(F15="","",F15+7)</f>
      </c>
      <c r="O15" s="2">
        <f>IF(F15="","",F15+14)</f>
      </c>
    </row>
    <row r="16">
      <c r="A16" s="3">
        <v>12</v>
      </c>
      <c r="B16" s="4">
        <f>HYPERLINK("https://leetcode.com/problems/find-all-numbers-disappeared-in-an-array/","Find All Numbers Disappeared in an Array (448)")</f>
      </c>
      <c r="C16" s="3" t="inlineStr">
        <is>
          <t xml:space="preserve">Easy</t>
        </is>
      </c>
      <c r="D16" s="3" t="inlineStr">
        <is>
          <t xml:space="preserve">Arrays</t>
        </is>
      </c>
      <c r="E16" s="3" t="inlineStr">
        <is>
          <t xml:space="preserve">Not started</t>
        </is>
      </c>
      <c r="L16" s="2">
        <f>IF(F16="","",F16+1)</f>
      </c>
      <c r="M16" s="2">
        <f>IF(F16="","",F16+3)</f>
      </c>
      <c r="N16" s="2">
        <f>IF(F16="","",F16+7)</f>
      </c>
      <c r="O16" s="2">
        <f>IF(F16="","",F16+14)</f>
      </c>
    </row>
    <row r="17">
      <c r="A17" s="3">
        <v>13</v>
      </c>
      <c r="B17" s="4">
        <f>HYPERLINK("https://leetcode.com/problems/running-sum-of-1d-array/","Running Sum of 1d Array (1480)")</f>
      </c>
      <c r="C17" s="3" t="inlineStr">
        <is>
          <t xml:space="preserve">Easy</t>
        </is>
      </c>
      <c r="D17" s="3" t="inlineStr">
        <is>
          <t xml:space="preserve">Prefix sum</t>
        </is>
      </c>
      <c r="E17" s="3" t="inlineStr">
        <is>
          <t xml:space="preserve">Not started</t>
        </is>
      </c>
      <c r="L17" s="2">
        <f>IF(F17="","",F17+1)</f>
      </c>
      <c r="M17" s="2">
        <f>IF(F17="","",F17+3)</f>
      </c>
      <c r="N17" s="2">
        <f>IF(F17="","",F17+7)</f>
      </c>
      <c r="O17" s="2">
        <f>IF(F17="","",F17+14)</f>
      </c>
    </row>
    <row r="18">
      <c r="A18" s="3">
        <v>13</v>
      </c>
      <c r="B18" s="4">
        <f>HYPERLINK("https://leetcode.com/problems/remove-duplicates-from-sorted-array/","Remove Duplicates from Sorted Array (26)")</f>
      </c>
      <c r="C18" s="3" t="inlineStr">
        <is>
          <t xml:space="preserve">Easy</t>
        </is>
      </c>
      <c r="D18" s="3" t="inlineStr">
        <is>
          <t xml:space="preserve">Two pointers</t>
        </is>
      </c>
      <c r="E18" s="3" t="inlineStr">
        <is>
          <t xml:space="preserve">Not started</t>
        </is>
      </c>
      <c r="L18" s="2">
        <f>IF(F18="","",F18+1)</f>
      </c>
      <c r="M18" s="2">
        <f>IF(F18="","",F18+3)</f>
      </c>
      <c r="N18" s="2">
        <f>IF(F18="","",F18+7)</f>
      </c>
      <c r="O18" s="2">
        <f>IF(F18="","",F18+14)</f>
      </c>
    </row>
    <row r="19">
      <c r="A19" s="3">
        <v>13</v>
      </c>
      <c r="B19" s="4">
        <f>HYPERLINK("https://leetcode.com/problems/range-sum-query-immutable/","Range Sum Query - Immutable (303)")</f>
      </c>
      <c r="C19" s="3" t="inlineStr">
        <is>
          <t xml:space="preserve">Easy</t>
        </is>
      </c>
      <c r="D19" s="3" t="inlineStr">
        <is>
          <t xml:space="preserve">Prefix sum</t>
        </is>
      </c>
      <c r="E19" s="3" t="inlineStr">
        <is>
          <t xml:space="preserve">Not started</t>
        </is>
      </c>
      <c r="L19" s="2">
        <f>IF(F19="","",F19+1)</f>
      </c>
      <c r="M19" s="2">
        <f>IF(F19="","",F19+3)</f>
      </c>
      <c r="N19" s="2">
        <f>IF(F19="","",F19+7)</f>
      </c>
      <c r="O19" s="2">
        <f>IF(F19="","",F19+14)</f>
      </c>
    </row>
    <row r="20">
      <c r="A20" s="3">
        <v>13</v>
      </c>
      <c r="B20" s="4">
        <f>HYPERLINK("https://leetcode.com/problems/plus-one/","Plus One (66)")</f>
      </c>
      <c r="C20" s="3" t="inlineStr">
        <is>
          <t xml:space="preserve">Easy</t>
        </is>
      </c>
      <c r="D20" s="3" t="inlineStr">
        <is>
          <t xml:space="preserve">Arrays</t>
        </is>
      </c>
      <c r="E20" s="3" t="inlineStr">
        <is>
          <t xml:space="preserve">Not started</t>
        </is>
      </c>
      <c r="L20" s="2">
        <f>IF(F20="","",F20+1)</f>
      </c>
      <c r="M20" s="2">
        <f>IF(F20="","",F20+3)</f>
      </c>
      <c r="N20" s="2">
        <f>IF(F20="","",F20+7)</f>
      </c>
      <c r="O20" s="2">
        <f>IF(F20="","",F20+14)</f>
      </c>
    </row>
    <row r="21">
      <c r="A21" s="3">
        <v>13</v>
      </c>
      <c r="B21" s="4">
        <f>HYPERLINK("https://leetcode.com/problems/merge-sorted-array/","Merge Sorted Array (88)")</f>
      </c>
      <c r="C21" s="3" t="inlineStr">
        <is>
          <t xml:space="preserve">Easy</t>
        </is>
      </c>
      <c r="D21" s="3" t="inlineStr">
        <is>
          <t xml:space="preserve">Two pointers</t>
        </is>
      </c>
      <c r="E21" s="3" t="inlineStr">
        <is>
          <t xml:space="preserve">Not started</t>
        </is>
      </c>
      <c r="L21" s="2">
        <f>IF(F21="","",F21+1)</f>
      </c>
      <c r="M21" s="2">
        <f>IF(F21="","",F21+3)</f>
      </c>
      <c r="N21" s="2">
        <f>IF(F21="","",F21+7)</f>
      </c>
      <c r="O21" s="2">
        <f>IF(F21="","",F21+14)</f>
      </c>
    </row>
    <row r="22">
      <c r="A22" s="3">
        <v>15</v>
      </c>
      <c r="B22" s="4">
        <f>HYPERLINK("https://leetcode.com/problems/valid-anagram/","Valid Anagram (242)")</f>
      </c>
      <c r="C22" s="3" t="inlineStr">
        <is>
          <t xml:space="preserve">Easy</t>
        </is>
      </c>
      <c r="D22" s="3" t="inlineStr">
        <is>
          <t xml:space="preserve">Strings</t>
        </is>
      </c>
      <c r="E22" s="3" t="inlineStr">
        <is>
          <t xml:space="preserve">Not started</t>
        </is>
      </c>
      <c r="L22" s="2">
        <f>IF(F22="","",F22+1)</f>
      </c>
      <c r="M22" s="2">
        <f>IF(F22="","",F22+3)</f>
      </c>
      <c r="N22" s="2">
        <f>IF(F22="","",F22+7)</f>
      </c>
      <c r="O22" s="2">
        <f>IF(F22="","",F22+14)</f>
      </c>
    </row>
    <row r="23">
      <c r="A23" s="3">
        <v>15</v>
      </c>
      <c r="B23" s="4">
        <f>HYPERLINK("https://leetcode.com/problems/ransom-note/","Ransom Note (383)")</f>
      </c>
      <c r="C23" s="3" t="inlineStr">
        <is>
          <t xml:space="preserve">Easy</t>
        </is>
      </c>
      <c r="D23" s="3" t="inlineStr">
        <is>
          <t xml:space="preserve">Strings</t>
        </is>
      </c>
      <c r="E23" s="3" t="inlineStr">
        <is>
          <t xml:space="preserve">Not started</t>
        </is>
      </c>
      <c r="L23" s="2">
        <f>IF(F23="","",F23+1)</f>
      </c>
      <c r="M23" s="2">
        <f>IF(F23="","",F23+3)</f>
      </c>
      <c r="N23" s="2">
        <f>IF(F23="","",F23+7)</f>
      </c>
      <c r="O23" s="2">
        <f>IF(F23="","",F23+14)</f>
      </c>
    </row>
    <row r="24">
      <c r="A24" s="3">
        <v>16</v>
      </c>
      <c r="B24" s="4">
        <f>HYPERLINK("https://leetcode.com/problems/valid-palindrome/","Valid Palindrome (125)")</f>
      </c>
      <c r="C24" s="3" t="inlineStr">
        <is>
          <t xml:space="preserve">Easy</t>
        </is>
      </c>
      <c r="D24" s="3" t="inlineStr">
        <is>
          <t xml:space="preserve">Two pointers</t>
        </is>
      </c>
      <c r="E24" s="3" t="inlineStr">
        <is>
          <t xml:space="preserve">Not started</t>
        </is>
      </c>
      <c r="L24" s="2">
        <f>IF(F24="","",F24+1)</f>
      </c>
      <c r="M24" s="2">
        <f>IF(F24="","",F24+3)</f>
      </c>
      <c r="N24" s="2">
        <f>IF(F24="","",F24+7)</f>
      </c>
      <c r="O24" s="2">
        <f>IF(F24="","",F24+14)</f>
      </c>
    </row>
    <row r="25">
      <c r="A25" s="3">
        <v>16</v>
      </c>
      <c r="B25" s="4">
        <f>HYPERLINK("https://leetcode.com/problems/valid-palindrome-ii/","Valid Palindrome II (680)")</f>
      </c>
      <c r="C25" s="3" t="inlineStr">
        <is>
          <t xml:space="preserve">Easy</t>
        </is>
      </c>
      <c r="D25" s="3" t="inlineStr">
        <is>
          <t xml:space="preserve">Two pointers</t>
        </is>
      </c>
      <c r="E25" s="3" t="inlineStr">
        <is>
          <t xml:space="preserve">Not started</t>
        </is>
      </c>
      <c r="L25" s="2">
        <f>IF(F25="","",F25+1)</f>
      </c>
      <c r="M25" s="2">
        <f>IF(F25="","",F25+3)</f>
      </c>
      <c r="N25" s="2">
        <f>IF(F25="","",F25+7)</f>
      </c>
      <c r="O25" s="2">
        <f>IF(F25="","",F25+14)</f>
      </c>
    </row>
    <row r="26">
      <c r="A26" s="3">
        <v>17</v>
      </c>
      <c r="B26" s="4">
        <f>HYPERLINK("https://leetcode.com/problems/two-sum-ii-input-array-is-sorted/","Two Sum II - Input Array Is Sorted (167)")</f>
      </c>
      <c r="C26" s="3" t="inlineStr">
        <is>
          <t xml:space="preserve">Medium</t>
        </is>
      </c>
      <c r="D26" s="3" t="inlineStr">
        <is>
          <t xml:space="preserve">Two pointers</t>
        </is>
      </c>
      <c r="E26" s="3" t="inlineStr">
        <is>
          <t xml:space="preserve">Not started</t>
        </is>
      </c>
      <c r="L26" s="2">
        <f>IF(F26="","",F26+1)</f>
      </c>
      <c r="M26" s="2">
        <f>IF(F26="","",F26+3)</f>
      </c>
      <c r="N26" s="2">
        <f>IF(F26="","",F26+7)</f>
      </c>
      <c r="O26" s="2">
        <f>IF(F26="","",F26+14)</f>
      </c>
    </row>
    <row r="27">
      <c r="A27" s="3">
        <v>17</v>
      </c>
      <c r="B27" s="4">
        <f>HYPERLINK("https://leetcode.com/problems/squares-of-a-sorted-array/","Squares of a Sorted Array (977)")</f>
      </c>
      <c r="C27" s="3" t="inlineStr">
        <is>
          <t xml:space="preserve">Easy</t>
        </is>
      </c>
      <c r="D27" s="3" t="inlineStr">
        <is>
          <t xml:space="preserve">Two pointers</t>
        </is>
      </c>
      <c r="E27" s="3" t="inlineStr">
        <is>
          <t xml:space="preserve">Not started</t>
        </is>
      </c>
      <c r="L27" s="2">
        <f>IF(F27="","",F27+1)</f>
      </c>
      <c r="M27" s="2">
        <f>IF(F27="","",F27+3)</f>
      </c>
      <c r="N27" s="2">
        <f>IF(F27="","",F27+7)</f>
      </c>
      <c r="O27" s="2">
        <f>IF(F27="","",F27+14)</f>
      </c>
    </row>
    <row r="28">
      <c r="A28" s="3">
        <v>18</v>
      </c>
      <c r="B28" s="4">
        <f>HYPERLINK("https://leetcode.com/problems/longest-common-prefix/","Longest Common Prefix (14)")</f>
      </c>
      <c r="C28" s="3" t="inlineStr">
        <is>
          <t xml:space="preserve">Easy</t>
        </is>
      </c>
      <c r="D28" s="3" t="inlineStr">
        <is>
          <t xml:space="preserve">Strings</t>
        </is>
      </c>
      <c r="E28" s="3" t="inlineStr">
        <is>
          <t xml:space="preserve">Not started</t>
        </is>
      </c>
      <c r="L28" s="2">
        <f>IF(F28="","",F28+1)</f>
      </c>
      <c r="M28" s="2">
        <f>IF(F28="","",F28+3)</f>
      </c>
      <c r="N28" s="2">
        <f>IF(F28="","",F28+7)</f>
      </c>
      <c r="O28" s="2">
        <f>IF(F28="","",F28+14)</f>
      </c>
    </row>
    <row r="29">
      <c r="A29" s="3">
        <v>18</v>
      </c>
      <c r="B29" s="4">
        <f>HYPERLINK("https://leetcode.com/problems/maximum-average-subarray-i/","Maximum Average Subarray I (643)")</f>
      </c>
      <c r="C29" s="3" t="inlineStr">
        <is>
          <t xml:space="preserve">Easy</t>
        </is>
      </c>
      <c r="D29" s="3" t="inlineStr">
        <is>
          <t xml:space="preserve">Sliding window</t>
        </is>
      </c>
      <c r="E29" s="3" t="inlineStr">
        <is>
          <t xml:space="preserve">Not started</t>
        </is>
      </c>
      <c r="L29" s="2">
        <f>IF(F29="","",F29+1)</f>
      </c>
      <c r="M29" s="2">
        <f>IF(F29="","",F29+3)</f>
      </c>
      <c r="N29" s="2">
        <f>IF(F29="","",F29+7)</f>
      </c>
      <c r="O29" s="2">
        <f>IF(F29="","",F29+14)</f>
      </c>
    </row>
    <row r="30">
      <c r="A30" s="3">
        <v>19</v>
      </c>
      <c r="B30" s="4">
        <f>HYPERLINK("https://leetcode.com/problems/encode-and-decode-strings/","Encode and Decode Strings (271)")</f>
      </c>
      <c r="C30" s="3" t="inlineStr">
        <is>
          <t xml:space="preserve">Medium</t>
        </is>
      </c>
      <c r="D30" s="3" t="inlineStr">
        <is>
          <t xml:space="preserve">Strings</t>
        </is>
      </c>
      <c r="E30" s="3" t="inlineStr">
        <is>
          <t xml:space="preserve">Not started</t>
        </is>
      </c>
      <c r="L30" s="2">
        <f>IF(F30="","",F30+1)</f>
      </c>
      <c r="M30" s="2">
        <f>IF(F30="","",F30+3)</f>
      </c>
      <c r="N30" s="2">
        <f>IF(F30="","",F30+7)</f>
      </c>
      <c r="O30" s="2">
        <f>IF(F30="","",F30+14)</f>
      </c>
    </row>
    <row r="31">
      <c r="A31" s="3">
        <v>19</v>
      </c>
      <c r="B31" s="4">
        <f>HYPERLINK("https://leetcode.com/problems/reverse-string/","Reverse String (344)")</f>
      </c>
      <c r="C31" s="3" t="inlineStr">
        <is>
          <t xml:space="preserve">Easy</t>
        </is>
      </c>
      <c r="D31" s="3" t="inlineStr">
        <is>
          <t xml:space="preserve">Two pointers</t>
        </is>
      </c>
      <c r="E31" s="3" t="inlineStr">
        <is>
          <t xml:space="preserve">Not started</t>
        </is>
      </c>
      <c r="L31" s="2">
        <f>IF(F31="","",F31+1)</f>
      </c>
      <c r="M31" s="2">
        <f>IF(F31="","",F31+3)</f>
      </c>
      <c r="N31" s="2">
        <f>IF(F31="","",F31+7)</f>
      </c>
      <c r="O31" s="2">
        <f>IF(F31="","",F31+14)</f>
      </c>
    </row>
    <row r="32">
      <c r="A32" s="3">
        <v>20</v>
      </c>
      <c r="B32" s="4">
        <f>HYPERLINK("https://leetcode.com/problems/3sum/","3Sum (15)")</f>
      </c>
      <c r="C32" s="3" t="inlineStr">
        <is>
          <t xml:space="preserve">Medium</t>
        </is>
      </c>
      <c r="D32" s="3" t="inlineStr">
        <is>
          <t xml:space="preserve">Two pointers</t>
        </is>
      </c>
      <c r="E32" s="3" t="inlineStr">
        <is>
          <t xml:space="preserve">Not started</t>
        </is>
      </c>
      <c r="L32" s="2">
        <f>IF(F32="","",F32+1)</f>
      </c>
      <c r="M32" s="2">
        <f>IF(F32="","",F32+3)</f>
      </c>
      <c r="N32" s="2">
        <f>IF(F32="","",F32+7)</f>
      </c>
      <c r="O32" s="2">
        <f>IF(F32="","",F32+14)</f>
      </c>
    </row>
    <row r="33">
      <c r="A33" s="3">
        <v>20</v>
      </c>
      <c r="B33" s="4">
        <f>HYPERLINK("https://leetcode.com/problems/isomorphic-strings/","Isomorphic Strings (205)")</f>
      </c>
      <c r="C33" s="3" t="inlineStr">
        <is>
          <t xml:space="preserve">Easy</t>
        </is>
      </c>
      <c r="D33" s="3" t="inlineStr">
        <is>
          <t xml:space="preserve">Strings</t>
        </is>
      </c>
      <c r="E33" s="3" t="inlineStr">
        <is>
          <t xml:space="preserve">Not started</t>
        </is>
      </c>
      <c r="L33" s="2">
        <f>IF(F33="","",F33+1)</f>
      </c>
      <c r="M33" s="2">
        <f>IF(F33="","",F33+3)</f>
      </c>
      <c r="N33" s="2">
        <f>IF(F33="","",F33+7)</f>
      </c>
      <c r="O33" s="2">
        <f>IF(F33="","",F33+14)</f>
      </c>
    </row>
    <row r="34">
      <c r="A34" s="3">
        <v>20</v>
      </c>
      <c r="B34" s="4">
        <f>HYPERLINK("https://leetcode.com/problems/word-pattern/","Word Pattern (290)")</f>
      </c>
      <c r="C34" s="3" t="inlineStr">
        <is>
          <t xml:space="preserve">Easy</t>
        </is>
      </c>
      <c r="D34" s="3" t="inlineStr">
        <is>
          <t xml:space="preserve">Strings</t>
        </is>
      </c>
      <c r="E34" s="3" t="inlineStr">
        <is>
          <t xml:space="preserve">Not started</t>
        </is>
      </c>
      <c r="L34" s="2">
        <f>IF(F34="","",F34+1)</f>
      </c>
      <c r="M34" s="2">
        <f>IF(F34="","",F34+3)</f>
      </c>
      <c r="N34" s="2">
        <f>IF(F34="","",F34+7)</f>
      </c>
      <c r="O34" s="2">
        <f>IF(F34="","",F34+14)</f>
      </c>
    </row>
    <row r="35">
      <c r="A35" s="3">
        <v>20</v>
      </c>
      <c r="B35" s="4">
        <f>HYPERLINK("https://leetcode.com/problems/first-unique-character-in-a-string/","First Unique Character in a String (387)")</f>
      </c>
      <c r="C35" s="3" t="inlineStr">
        <is>
          <t xml:space="preserve">Easy</t>
        </is>
      </c>
      <c r="D35" s="3" t="inlineStr">
        <is>
          <t xml:space="preserve">Strings</t>
        </is>
      </c>
      <c r="E35" s="3" t="inlineStr">
        <is>
          <t xml:space="preserve">Not started</t>
        </is>
      </c>
      <c r="L35" s="2">
        <f>IF(F35="","",F35+1)</f>
      </c>
      <c r="M35" s="2">
        <f>IF(F35="","",F35+3)</f>
      </c>
      <c r="N35" s="2">
        <f>IF(F35="","",F35+7)</f>
      </c>
      <c r="O35" s="2">
        <f>IF(F35="","",F35+14)</f>
      </c>
    </row>
    <row r="36">
      <c r="A36" s="3">
        <v>22</v>
      </c>
      <c r="B36" s="4">
        <f>HYPERLINK("https://leetcode.com/problems/longest-substring-without-repeating-characters/","Longest Substring Without Repeating Characters (3)")</f>
      </c>
      <c r="C36" s="3" t="inlineStr">
        <is>
          <t xml:space="preserve">Medium</t>
        </is>
      </c>
      <c r="D36" s="3" t="inlineStr">
        <is>
          <t xml:space="preserve">Sliding window</t>
        </is>
      </c>
      <c r="E36" s="3" t="inlineStr">
        <is>
          <t xml:space="preserve">Not started</t>
        </is>
      </c>
      <c r="L36" s="2">
        <f>IF(F36="","",F36+1)</f>
      </c>
      <c r="M36" s="2">
        <f>IF(F36="","",F36+3)</f>
      </c>
      <c r="N36" s="2">
        <f>IF(F36="","",F36+7)</f>
      </c>
      <c r="O36" s="2">
        <f>IF(F36="","",F36+14)</f>
      </c>
    </row>
    <row r="37">
      <c r="A37" s="3">
        <v>23</v>
      </c>
      <c r="B37" s="4">
        <f>HYPERLINK("https://leetcode.com/problems/max-consecutive-ones-iii/","Max Consecutive Ones III (1004)")</f>
      </c>
      <c r="C37" s="3" t="inlineStr">
        <is>
          <t xml:space="preserve">Medium</t>
        </is>
      </c>
      <c r="D37" s="3" t="inlineStr">
        <is>
          <t xml:space="preserve">Sliding window</t>
        </is>
      </c>
      <c r="E37" s="3" t="inlineStr">
        <is>
          <t xml:space="preserve">Not started</t>
        </is>
      </c>
      <c r="L37" s="2">
        <f>IF(F37="","",F37+1)</f>
      </c>
      <c r="M37" s="2">
        <f>IF(F37="","",F37+3)</f>
      </c>
      <c r="N37" s="2">
        <f>IF(F37="","",F37+7)</f>
      </c>
      <c r="O37" s="2">
        <f>IF(F37="","",F37+14)</f>
      </c>
    </row>
    <row r="38">
      <c r="A38" s="3">
        <v>23</v>
      </c>
      <c r="B38" s="4">
        <f>HYPERLINK("https://leetcode.com/problems/minimum-size-subarray-sum/","Minimum Size Subarray Sum (209)")</f>
      </c>
      <c r="C38" s="3" t="inlineStr">
        <is>
          <t xml:space="preserve">Medium</t>
        </is>
      </c>
      <c r="D38" s="3" t="inlineStr">
        <is>
          <t xml:space="preserve">Sliding window</t>
        </is>
      </c>
      <c r="E38" s="3" t="inlineStr">
        <is>
          <t xml:space="preserve">Not started</t>
        </is>
      </c>
      <c r="L38" s="2">
        <f>IF(F38="","",F38+1)</f>
      </c>
      <c r="M38" s="2">
        <f>IF(F38="","",F38+3)</f>
      </c>
      <c r="N38" s="2">
        <f>IF(F38="","",F38+7)</f>
      </c>
      <c r="O38" s="2">
        <f>IF(F38="","",F38+14)</f>
      </c>
    </row>
    <row r="39">
      <c r="A39" s="3">
        <v>24</v>
      </c>
      <c r="B39" s="4">
        <f>HYPERLINK("https://leetcode.com/problems/subarray-sum-equals-k/","Subarray Sum Equals K (560)")</f>
      </c>
      <c r="C39" s="3" t="inlineStr">
        <is>
          <t xml:space="preserve">Medium</t>
        </is>
      </c>
      <c r="D39" s="3" t="inlineStr">
        <is>
          <t xml:space="preserve">Prefix sum</t>
        </is>
      </c>
      <c r="E39" s="3" t="inlineStr">
        <is>
          <t xml:space="preserve">Not started</t>
        </is>
      </c>
      <c r="L39" s="2">
        <f>IF(F39="","",F39+1)</f>
      </c>
      <c r="M39" s="2">
        <f>IF(F39="","",F39+3)</f>
      </c>
      <c r="N39" s="2">
        <f>IF(F39="","",F39+7)</f>
      </c>
      <c r="O39" s="2">
        <f>IF(F39="","",F39+14)</f>
      </c>
    </row>
    <row r="40">
      <c r="A40" s="3">
        <v>25</v>
      </c>
      <c r="B40" s="4">
        <f>HYPERLINK("https://leetcode.com/problems/best-time-to-buy-and-sell-stock/","Best Time to Buy and Sell Stock (121)")</f>
      </c>
      <c r="C40" s="3" t="inlineStr">
        <is>
          <t xml:space="preserve">Easy</t>
        </is>
      </c>
      <c r="D40" s="3" t="inlineStr">
        <is>
          <t xml:space="preserve">Arrays</t>
        </is>
      </c>
      <c r="E40" s="3" t="inlineStr">
        <is>
          <t xml:space="preserve">Not started</t>
        </is>
      </c>
      <c r="L40" s="2">
        <f>IF(F40="","",F40+1)</f>
      </c>
      <c r="M40" s="2">
        <f>IF(F40="","",F40+3)</f>
      </c>
      <c r="N40" s="2">
        <f>IF(F40="","",F40+7)</f>
      </c>
      <c r="O40" s="2">
        <f>IF(F40="","",F40+14)</f>
      </c>
    </row>
    <row r="41">
      <c r="A41" s="3">
        <v>25</v>
      </c>
      <c r="B41" s="4">
        <f>HYPERLINK("https://leetcode.com/problems/maximum-subarray/","Maximum Subarray (53)")</f>
      </c>
      <c r="C41" s="3" t="inlineStr">
        <is>
          <t xml:space="preserve">Medium</t>
        </is>
      </c>
      <c r="D41" s="3" t="inlineStr">
        <is>
          <t xml:space="preserve">Arrays</t>
        </is>
      </c>
      <c r="E41" s="3" t="inlineStr">
        <is>
          <t xml:space="preserve">Not started</t>
        </is>
      </c>
      <c r="L41" s="2">
        <f>IF(F41="","",F41+1)</f>
      </c>
      <c r="M41" s="2">
        <f>IF(F41="","",F41+3)</f>
      </c>
      <c r="N41" s="2">
        <f>IF(F41="","",F41+7)</f>
      </c>
      <c r="O41" s="2">
        <f>IF(F41="","",F41+14)</f>
      </c>
    </row>
    <row r="42">
      <c r="A42" s="3">
        <v>26</v>
      </c>
      <c r="B42" s="4">
        <f>HYPERLINK("https://leetcode.com/problems/contains-duplicate-ii/","Contains Duplicate II (219)")</f>
      </c>
      <c r="C42" s="3" t="inlineStr">
        <is>
          <t xml:space="preserve">Easy</t>
        </is>
      </c>
      <c r="D42" s="3" t="inlineStr">
        <is>
          <t xml:space="preserve">Hashing</t>
        </is>
      </c>
      <c r="E42" s="3" t="inlineStr">
        <is>
          <t xml:space="preserve">Not started</t>
        </is>
      </c>
      <c r="L42" s="2">
        <f>IF(F42="","",F42+1)</f>
      </c>
      <c r="M42" s="2">
        <f>IF(F42="","",F42+3)</f>
      </c>
      <c r="N42" s="2">
        <f>IF(F42="","",F42+7)</f>
      </c>
      <c r="O42" s="2">
        <f>IF(F42="","",F42+14)</f>
      </c>
    </row>
    <row r="43">
      <c r="A43" s="3">
        <v>27</v>
      </c>
      <c r="B43" s="4">
        <f>HYPERLINK("https://leetcode.com/problems/product-of-array-except-self/","Product of Array Except Self (238)")</f>
      </c>
      <c r="C43" s="3" t="inlineStr">
        <is>
          <t xml:space="preserve">Medium</t>
        </is>
      </c>
      <c r="D43" s="3" t="inlineStr">
        <is>
          <t xml:space="preserve">Prefix sum</t>
        </is>
      </c>
      <c r="E43" s="3" t="inlineStr">
        <is>
          <t xml:space="preserve">Not started</t>
        </is>
      </c>
      <c r="L43" s="2">
        <f>IF(F43="","",F43+1)</f>
      </c>
      <c r="M43" s="2">
        <f>IF(F43="","",F43+3)</f>
      </c>
      <c r="N43" s="2">
        <f>IF(F43="","",F43+7)</f>
      </c>
      <c r="O43" s="2">
        <f>IF(F43="","",F43+14)</f>
      </c>
    </row>
    <row r="44">
      <c r="A44" s="3">
        <v>27</v>
      </c>
      <c r="B44" s="4">
        <f>HYPERLINK("https://leetcode.com/problems/longest-repeating-character-replacement/","Longest Repeating Character Replacement (424)")</f>
      </c>
      <c r="C44" s="3" t="inlineStr">
        <is>
          <t xml:space="preserve">Medium</t>
        </is>
      </c>
      <c r="D44" s="3" t="inlineStr">
        <is>
          <t xml:space="preserve">Sliding window</t>
        </is>
      </c>
      <c r="E44" s="3" t="inlineStr">
        <is>
          <t xml:space="preserve">Not started</t>
        </is>
      </c>
      <c r="L44" s="2">
        <f>IF(F44="","",F44+1)</f>
      </c>
      <c r="M44" s="2">
        <f>IF(F44="","",F44+3)</f>
      </c>
      <c r="N44" s="2">
        <f>IF(F44="","",F44+7)</f>
      </c>
      <c r="O44" s="2">
        <f>IF(F44="","",F44+14)</f>
      </c>
    </row>
    <row r="45">
      <c r="A45" s="3">
        <v>27</v>
      </c>
      <c r="B45" s="4">
        <f>HYPERLINK("https://leetcode.com/problems/group-anagrams/","Group Anagrams (49)")</f>
      </c>
      <c r="C45" s="3" t="inlineStr">
        <is>
          <t xml:space="preserve">Medium</t>
        </is>
      </c>
      <c r="D45" s="3" t="inlineStr">
        <is>
          <t xml:space="preserve">Hashing</t>
        </is>
      </c>
      <c r="E45" s="3" t="inlineStr">
        <is>
          <t xml:space="preserve">Not started</t>
        </is>
      </c>
      <c r="L45" s="2">
        <f>IF(F45="","",F45+1)</f>
      </c>
      <c r="M45" s="2">
        <f>IF(F45="","",F45+3)</f>
      </c>
      <c r="N45" s="2">
        <f>IF(F45="","",F45+7)</f>
      </c>
      <c r="O45" s="2">
        <f>IF(F45="","",F45+14)</f>
      </c>
    </row>
    <row r="46">
      <c r="A46" s="3">
        <v>27</v>
      </c>
      <c r="B46" s="4">
        <f>HYPERLINK("https://leetcode.com/problems/permutation-in-string/","Permutation in String (567)")</f>
      </c>
      <c r="C46" s="3" t="inlineStr">
        <is>
          <t xml:space="preserve">Medium</t>
        </is>
      </c>
      <c r="D46" s="3" t="inlineStr">
        <is>
          <t xml:space="preserve">Sliding window</t>
        </is>
      </c>
      <c r="E46" s="3" t="inlineStr">
        <is>
          <t xml:space="preserve">Not started</t>
        </is>
      </c>
      <c r="L46" s="2">
        <f>IF(F46="","",F46+1)</f>
      </c>
      <c r="M46" s="2">
        <f>IF(F46="","",F46+3)</f>
      </c>
      <c r="N46" s="2">
        <f>IF(F46="","",F46+7)</f>
      </c>
      <c r="O46" s="2">
        <f>IF(F46="","",F46+14)</f>
      </c>
    </row>
    <row r="47">
      <c r="A47" s="3">
        <v>29</v>
      </c>
      <c r="B47" s="4">
        <f>HYPERLINK("https://leetcode.com/problems/search-insert-position/","Search Insert Position (35)")</f>
      </c>
      <c r="C47" s="3" t="inlineStr">
        <is>
          <t xml:space="preserve">Easy</t>
        </is>
      </c>
      <c r="D47" s="3" t="inlineStr">
        <is>
          <t xml:space="preserve">Binary search</t>
        </is>
      </c>
      <c r="E47" s="3" t="inlineStr">
        <is>
          <t xml:space="preserve">Not started</t>
        </is>
      </c>
      <c r="L47" s="2">
        <f>IF(F47="","",F47+1)</f>
      </c>
      <c r="M47" s="2">
        <f>IF(F47="","",F47+3)</f>
      </c>
      <c r="N47" s="2">
        <f>IF(F47="","",F47+7)</f>
      </c>
      <c r="O47" s="2">
        <f>IF(F47="","",F47+14)</f>
      </c>
    </row>
    <row r="48">
      <c r="A48" s="3">
        <v>29</v>
      </c>
      <c r="B48" s="4">
        <f>HYPERLINK("https://leetcode.com/problems/binary-search/","Binary Search (704)")</f>
      </c>
      <c r="C48" s="3" t="inlineStr">
        <is>
          <t xml:space="preserve">Easy</t>
        </is>
      </c>
      <c r="D48" s="3" t="inlineStr">
        <is>
          <t xml:space="preserve">Binary search</t>
        </is>
      </c>
      <c r="E48" s="3" t="inlineStr">
        <is>
          <t xml:space="preserve">Not started</t>
        </is>
      </c>
      <c r="L48" s="2">
        <f>IF(F48="","",F48+1)</f>
      </c>
      <c r="M48" s="2">
        <f>IF(F48="","",F48+3)</f>
      </c>
      <c r="N48" s="2">
        <f>IF(F48="","",F48+7)</f>
      </c>
      <c r="O48" s="2">
        <f>IF(F48="","",F48+14)</f>
      </c>
    </row>
    <row r="49">
      <c r="A49" s="3">
        <v>30</v>
      </c>
      <c r="B49" s="4">
        <f>HYPERLINK("https://leetcode.com/problems/first-bad-version/","First Bad Version (278)")</f>
      </c>
      <c r="C49" s="3" t="inlineStr">
        <is>
          <t xml:space="preserve">Easy</t>
        </is>
      </c>
      <c r="D49" s="3" t="inlineStr">
        <is>
          <t xml:space="preserve">Binary search</t>
        </is>
      </c>
      <c r="E49" s="3" t="inlineStr">
        <is>
          <t xml:space="preserve">Not started</t>
        </is>
      </c>
      <c r="L49" s="2">
        <f>IF(F49="","",F49+1)</f>
      </c>
      <c r="M49" s="2">
        <f>IF(F49="","",F49+3)</f>
      </c>
      <c r="N49" s="2">
        <f>IF(F49="","",F49+7)</f>
      </c>
      <c r="O49" s="2">
        <f>IF(F49="","",F49+14)</f>
      </c>
    </row>
    <row r="50">
      <c r="A50" s="3">
        <v>30</v>
      </c>
      <c r="B50" s="4">
        <f>HYPERLINK("https://leetcode.com/problems/find-first-and-last-position-of-element-in-sorted-array/","Find First and Last Position of Element in Sorted Array (34)")</f>
      </c>
      <c r="C50" s="3" t="inlineStr">
        <is>
          <t xml:space="preserve">Medium</t>
        </is>
      </c>
      <c r="D50" s="3" t="inlineStr">
        <is>
          <t xml:space="preserve">Binary search</t>
        </is>
      </c>
      <c r="E50" s="3" t="inlineStr">
        <is>
          <t xml:space="preserve">Not started</t>
        </is>
      </c>
      <c r="L50" s="2">
        <f>IF(F50="","",F50+1)</f>
      </c>
      <c r="M50" s="2">
        <f>IF(F50="","",F50+3)</f>
      </c>
      <c r="N50" s="2">
        <f>IF(F50="","",F50+7)</f>
      </c>
      <c r="O50" s="2">
        <f>IF(F50="","",F50+14)</f>
      </c>
    </row>
    <row r="51">
      <c r="A51" s="3">
        <v>31</v>
      </c>
      <c r="B51" s="4">
        <f>HYPERLINK("https://leetcode.com/problems/find-minimum-in-rotated-sorted-array/","Find Minimum in Rotated Sorted Array (153)")</f>
      </c>
      <c r="C51" s="3" t="inlineStr">
        <is>
          <t xml:space="preserve">Medium</t>
        </is>
      </c>
      <c r="D51" s="3" t="inlineStr">
        <is>
          <t xml:space="preserve">Binary search</t>
        </is>
      </c>
      <c r="E51" s="3" t="inlineStr">
        <is>
          <t xml:space="preserve">Not started</t>
        </is>
      </c>
      <c r="L51" s="2">
        <f>IF(F51="","",F51+1)</f>
      </c>
      <c r="M51" s="2">
        <f>IF(F51="","",F51+3)</f>
      </c>
      <c r="N51" s="2">
        <f>IF(F51="","",F51+7)</f>
      </c>
      <c r="O51" s="2">
        <f>IF(F51="","",F51+14)</f>
      </c>
    </row>
    <row r="52">
      <c r="A52" s="3">
        <v>31</v>
      </c>
      <c r="B52" s="4">
        <f>HYPERLINK("https://leetcode.com/problems/search-in-rotated-sorted-array/","Search in Rotated Sorted Array (33)")</f>
      </c>
      <c r="C52" s="3" t="inlineStr">
        <is>
          <t xml:space="preserve">Medium</t>
        </is>
      </c>
      <c r="D52" s="3" t="inlineStr">
        <is>
          <t xml:space="preserve">Binary search</t>
        </is>
      </c>
      <c r="E52" s="3" t="inlineStr">
        <is>
          <t xml:space="preserve">Not started</t>
        </is>
      </c>
      <c r="L52" s="2">
        <f>IF(F52="","",F52+1)</f>
      </c>
      <c r="M52" s="2">
        <f>IF(F52="","",F52+3)</f>
      </c>
      <c r="N52" s="2">
        <f>IF(F52="","",F52+7)</f>
      </c>
      <c r="O52" s="2">
        <f>IF(F52="","",F52+14)</f>
      </c>
    </row>
    <row r="53">
      <c r="A53" s="3">
        <v>32</v>
      </c>
      <c r="B53" s="4">
        <f>HYPERLINK("https://leetcode.com/problems/capacity-to-ship-packages-within-d-days/","Capacity To Ship Packages Within D Days (1011)")</f>
      </c>
      <c r="C53" s="3" t="inlineStr">
        <is>
          <t xml:space="preserve">Medium</t>
        </is>
      </c>
      <c r="D53" s="3" t="inlineStr">
        <is>
          <t xml:space="preserve">Binary search on answer</t>
        </is>
      </c>
      <c r="E53" s="3" t="inlineStr">
        <is>
          <t xml:space="preserve">Not started</t>
        </is>
      </c>
      <c r="L53" s="2">
        <f>IF(F53="","",F53+1)</f>
      </c>
      <c r="M53" s="2">
        <f>IF(F53="","",F53+3)</f>
      </c>
      <c r="N53" s="2">
        <f>IF(F53="","",F53+7)</f>
      </c>
      <c r="O53" s="2">
        <f>IF(F53="","",F53+14)</f>
      </c>
    </row>
    <row r="54">
      <c r="A54" s="3">
        <v>32</v>
      </c>
      <c r="B54" s="4">
        <f>HYPERLINK("https://leetcode.com/problems/koko-eating-bananas/","Koko Eating Bananas (875)")</f>
      </c>
      <c r="C54" s="3" t="inlineStr">
        <is>
          <t xml:space="preserve">Medium</t>
        </is>
      </c>
      <c r="D54" s="3" t="inlineStr">
        <is>
          <t xml:space="preserve">Binary search on answer</t>
        </is>
      </c>
      <c r="E54" s="3" t="inlineStr">
        <is>
          <t xml:space="preserve">Not started</t>
        </is>
      </c>
      <c r="L54" s="2">
        <f>IF(F54="","",F54+1)</f>
      </c>
      <c r="M54" s="2">
        <f>IF(F54="","",F54+3)</f>
      </c>
      <c r="N54" s="2">
        <f>IF(F54="","",F54+7)</f>
      </c>
      <c r="O54" s="2">
        <f>IF(F54="","",F54+14)</f>
      </c>
    </row>
    <row r="55">
      <c r="A55" s="3">
        <v>33</v>
      </c>
      <c r="B55" s="4">
        <f>HYPERLINK("https://leetcode.com/problems/sqrtx/","Sqrt(x) (69)")</f>
      </c>
      <c r="C55" s="3" t="inlineStr">
        <is>
          <t xml:space="preserve">Easy</t>
        </is>
      </c>
      <c r="D55" s="3" t="inlineStr">
        <is>
          <t xml:space="preserve">Binary search</t>
        </is>
      </c>
      <c r="E55" s="3" t="inlineStr">
        <is>
          <t xml:space="preserve">Not started</t>
        </is>
      </c>
      <c r="L55" s="2">
        <f>IF(F55="","",F55+1)</f>
      </c>
      <c r="M55" s="2">
        <f>IF(F55="","",F55+3)</f>
      </c>
      <c r="N55" s="2">
        <f>IF(F55="","",F55+7)</f>
      </c>
      <c r="O55" s="2">
        <f>IF(F55="","",F55+14)</f>
      </c>
    </row>
    <row r="56">
      <c r="A56" s="3">
        <v>33</v>
      </c>
      <c r="B56" s="4">
        <f>HYPERLINK("https://leetcode.com/problems/search-a-2d-matrix/","Search a 2D Matrix (74)")</f>
      </c>
      <c r="C56" s="3" t="inlineStr">
        <is>
          <t xml:space="preserve">Medium</t>
        </is>
      </c>
      <c r="D56" s="3" t="inlineStr">
        <is>
          <t xml:space="preserve">Binary search</t>
        </is>
      </c>
      <c r="E56" s="3" t="inlineStr">
        <is>
          <t xml:space="preserve">Not started</t>
        </is>
      </c>
      <c r="L56" s="2">
        <f>IF(F56="","",F56+1)</f>
      </c>
      <c r="M56" s="2">
        <f>IF(F56="","",F56+3)</f>
      </c>
      <c r="N56" s="2">
        <f>IF(F56="","",F56+7)</f>
      </c>
      <c r="O56" s="2">
        <f>IF(F56="","",F56+14)</f>
      </c>
    </row>
    <row r="57">
      <c r="A57" s="3">
        <v>34</v>
      </c>
      <c r="B57" s="4">
        <f>HYPERLINK("https://leetcode.com/problems/sort-colors/","Sort Colors (75)")</f>
      </c>
      <c r="C57" s="3" t="inlineStr">
        <is>
          <t xml:space="preserve">Medium</t>
        </is>
      </c>
      <c r="D57" s="3" t="inlineStr">
        <is>
          <t xml:space="preserve">Two pointers</t>
        </is>
      </c>
      <c r="E57" s="3" t="inlineStr">
        <is>
          <t xml:space="preserve">Not started</t>
        </is>
      </c>
      <c r="L57" s="2">
        <f>IF(F57="","",F57+1)</f>
      </c>
      <c r="M57" s="2">
        <f>IF(F57="","",F57+3)</f>
      </c>
      <c r="N57" s="2">
        <f>IF(F57="","",F57+7)</f>
      </c>
      <c r="O57" s="2">
        <f>IF(F57="","",F57+14)</f>
      </c>
    </row>
    <row r="58">
      <c r="A58" s="3">
        <v>34</v>
      </c>
      <c r="B58" s="4">
        <f>HYPERLINK("https://leetcode.com/problems/sort-an-array/","Sort an Array (912)")</f>
      </c>
      <c r="C58" s="3" t="inlineStr">
        <is>
          <t xml:space="preserve">Medium</t>
        </is>
      </c>
      <c r="D58" s="3" t="inlineStr">
        <is>
          <t xml:space="preserve">Sorting</t>
        </is>
      </c>
      <c r="E58" s="3" t="inlineStr">
        <is>
          <t xml:space="preserve">Not started</t>
        </is>
      </c>
      <c r="L58" s="2">
        <f>IF(F58="","",F58+1)</f>
      </c>
      <c r="M58" s="2">
        <f>IF(F58="","",F58+3)</f>
      </c>
      <c r="N58" s="2">
        <f>IF(F58="","",F58+7)</f>
      </c>
      <c r="O58" s="2">
        <f>IF(F58="","",F58+14)</f>
      </c>
    </row>
    <row r="59">
      <c r="A59" s="3">
        <v>34</v>
      </c>
      <c r="B59" s="4">
        <f>HYPERLINK("PROBLEMS.md#x-merge-sort","Implement merge sort (stable, O(n log n), O(n) extra)")</f>
      </c>
      <c r="C59" s="3" t="inlineStr">
        <is>
          <t xml:space="preserve">Custom</t>
        </is>
      </c>
      <c r="D59" s="3" t="inlineStr">
        <is>
          <t xml:space="preserve">Sorting</t>
        </is>
      </c>
      <c r="E59" s="3" t="inlineStr">
        <is>
          <t xml:space="preserve">Not started</t>
        </is>
      </c>
      <c r="L59" s="2">
        <f>IF(F59="","",F59+1)</f>
      </c>
      <c r="M59" s="2">
        <f>IF(F59="","",F59+3)</f>
      </c>
      <c r="N59" s="2">
        <f>IF(F59="","",F59+7)</f>
      </c>
      <c r="O59" s="2">
        <f>IF(F59="","",F59+14)</f>
      </c>
    </row>
    <row r="60">
      <c r="A60" s="3">
        <v>34</v>
      </c>
      <c r="B60" s="4">
        <f>HYPERLINK("PROBLEMS.md#x-quick-sort","Implement quicksort partition (Lomuto and Hoare) and quickselect")</f>
      </c>
      <c r="C60" s="3" t="inlineStr">
        <is>
          <t xml:space="preserve">Custom</t>
        </is>
      </c>
      <c r="D60" s="3" t="inlineStr">
        <is>
          <t xml:space="preserve">Sorting</t>
        </is>
      </c>
      <c r="E60" s="3" t="inlineStr">
        <is>
          <t xml:space="preserve">Not started</t>
        </is>
      </c>
      <c r="L60" s="2">
        <f>IF(F60="","",F60+1)</f>
      </c>
      <c r="M60" s="2">
        <f>IF(F60="","",F60+3)</f>
      </c>
      <c r="N60" s="2">
        <f>IF(F60="","",F60+7)</f>
      </c>
      <c r="O60" s="2">
        <f>IF(F60="","",F60+14)</f>
      </c>
    </row>
    <row r="61">
      <c r="A61" s="3">
        <v>35</v>
      </c>
      <c r="B61" s="4">
        <f>HYPERLINK("PROBLEMS.md#x-simple-sorts","Bubble, selection, insertion sort — trace and state costs")</f>
      </c>
      <c r="C61" s="3" t="inlineStr">
        <is>
          <t xml:space="preserve">Custom</t>
        </is>
      </c>
      <c r="D61" s="3" t="inlineStr">
        <is>
          <t xml:space="preserve">Sorting</t>
        </is>
      </c>
      <c r="E61" s="3" t="inlineStr">
        <is>
          <t xml:space="preserve">Not started</t>
        </is>
      </c>
      <c r="L61" s="2">
        <f>IF(F61="","",F61+1)</f>
      </c>
      <c r="M61" s="2">
        <f>IF(F61="","",F61+3)</f>
      </c>
      <c r="N61" s="2">
        <f>IF(F61="","",F61+7)</f>
      </c>
      <c r="O61" s="2">
        <f>IF(F61="","",F61+14)</f>
      </c>
    </row>
    <row r="62">
      <c r="A62" s="3">
        <v>36</v>
      </c>
      <c r="B62" s="4">
        <f>HYPERLINK("https://leetcode.com/problems/reverse-linked-list/","Reverse Linked List (206)")</f>
      </c>
      <c r="C62" s="3" t="inlineStr">
        <is>
          <t xml:space="preserve">Easy</t>
        </is>
      </c>
      <c r="D62" s="3" t="inlineStr">
        <is>
          <t xml:space="preserve">Linked lists</t>
        </is>
      </c>
      <c r="E62" s="3" t="inlineStr">
        <is>
          <t xml:space="preserve">Not started</t>
        </is>
      </c>
      <c r="L62" s="2">
        <f>IF(F62="","",F62+1)</f>
      </c>
      <c r="M62" s="2">
        <f>IF(F62="","",F62+3)</f>
      </c>
      <c r="N62" s="2">
        <f>IF(F62="","",F62+7)</f>
      </c>
      <c r="O62" s="2">
        <f>IF(F62="","",F62+14)</f>
      </c>
    </row>
    <row r="63">
      <c r="A63" s="3">
        <v>36</v>
      </c>
      <c r="B63" s="4">
        <f>HYPERLINK("https://leetcode.com/problems/middle-of-the-linked-list/","Middle of the Linked List (876)")</f>
      </c>
      <c r="C63" s="3" t="inlineStr">
        <is>
          <t xml:space="preserve">Easy</t>
        </is>
      </c>
      <c r="D63" s="3" t="inlineStr">
        <is>
          <t xml:space="preserve">Fast &amp; slow</t>
        </is>
      </c>
      <c r="E63" s="3" t="inlineStr">
        <is>
          <t xml:space="preserve">Not started</t>
        </is>
      </c>
      <c r="L63" s="2">
        <f>IF(F63="","",F63+1)</f>
      </c>
      <c r="M63" s="2">
        <f>IF(F63="","",F63+3)</f>
      </c>
      <c r="N63" s="2">
        <f>IF(F63="","",F63+7)</f>
      </c>
      <c r="O63" s="2">
        <f>IF(F63="","",F63+14)</f>
      </c>
    </row>
    <row r="64">
      <c r="A64" s="3">
        <v>37</v>
      </c>
      <c r="B64" s="4">
        <f>HYPERLINK("https://leetcode.com/problems/remove-nth-node-from-end-of-list/","Remove Nth Node From End of List (19)")</f>
      </c>
      <c r="C64" s="3" t="inlineStr">
        <is>
          <t xml:space="preserve">Medium</t>
        </is>
      </c>
      <c r="D64" s="3" t="inlineStr">
        <is>
          <t xml:space="preserve">Linked lists</t>
        </is>
      </c>
      <c r="E64" s="3" t="inlineStr">
        <is>
          <t xml:space="preserve">Not started</t>
        </is>
      </c>
      <c r="L64" s="2">
        <f>IF(F64="","",F64+1)</f>
      </c>
      <c r="M64" s="2">
        <f>IF(F64="","",F64+3)</f>
      </c>
      <c r="N64" s="2">
        <f>IF(F64="","",F64+7)</f>
      </c>
      <c r="O64" s="2">
        <f>IF(F64="","",F64+14)</f>
      </c>
    </row>
    <row r="65">
      <c r="A65" s="3">
        <v>37</v>
      </c>
      <c r="B65" s="4">
        <f>HYPERLINK("https://leetcode.com/problems/merge-two-sorted-lists/","Merge Two Sorted Lists (21)")</f>
      </c>
      <c r="C65" s="3" t="inlineStr">
        <is>
          <t xml:space="preserve">Easy</t>
        </is>
      </c>
      <c r="D65" s="3" t="inlineStr">
        <is>
          <t xml:space="preserve">Linked lists</t>
        </is>
      </c>
      <c r="E65" s="3" t="inlineStr">
        <is>
          <t xml:space="preserve">Not started</t>
        </is>
      </c>
      <c r="L65" s="2">
        <f>IF(F65="","",F65+1)</f>
      </c>
      <c r="M65" s="2">
        <f>IF(F65="","",F65+3)</f>
      </c>
      <c r="N65" s="2">
        <f>IF(F65="","",F65+7)</f>
      </c>
      <c r="O65" s="2">
        <f>IF(F65="","",F65+14)</f>
      </c>
    </row>
    <row r="66">
      <c r="A66" s="3">
        <v>38</v>
      </c>
      <c r="B66" s="4">
        <f>HYPERLINK("https://leetcode.com/problems/linked-list-cycle/","Linked List Cycle (141)")</f>
      </c>
      <c r="C66" s="3" t="inlineStr">
        <is>
          <t xml:space="preserve">Easy</t>
        </is>
      </c>
      <c r="D66" s="3" t="inlineStr">
        <is>
          <t xml:space="preserve">Fast &amp; slow</t>
        </is>
      </c>
      <c r="E66" s="3" t="inlineStr">
        <is>
          <t xml:space="preserve">Not started</t>
        </is>
      </c>
      <c r="L66" s="2">
        <f>IF(F66="","",F66+1)</f>
      </c>
      <c r="M66" s="2">
        <f>IF(F66="","",F66+3)</f>
      </c>
      <c r="N66" s="2">
        <f>IF(F66="","",F66+7)</f>
      </c>
      <c r="O66" s="2">
        <f>IF(F66="","",F66+14)</f>
      </c>
    </row>
    <row r="67">
      <c r="A67" s="3">
        <v>38</v>
      </c>
      <c r="B67" s="4">
        <f>HYPERLINK("https://leetcode.com/problems/palindrome-linked-list/","Palindrome Linked List (234)")</f>
      </c>
      <c r="C67" s="3" t="inlineStr">
        <is>
          <t xml:space="preserve">Easy</t>
        </is>
      </c>
      <c r="D67" s="3" t="inlineStr">
        <is>
          <t xml:space="preserve">Linked lists</t>
        </is>
      </c>
      <c r="E67" s="3" t="inlineStr">
        <is>
          <t xml:space="preserve">Not started</t>
        </is>
      </c>
      <c r="L67" s="2">
        <f>IF(F67="","",F67+1)</f>
      </c>
      <c r="M67" s="2">
        <f>IF(F67="","",F67+3)</f>
      </c>
      <c r="N67" s="2">
        <f>IF(F67="","",F67+7)</f>
      </c>
      <c r="O67" s="2">
        <f>IF(F67="","",F67+14)</f>
      </c>
    </row>
    <row r="68">
      <c r="A68" s="3">
        <v>39</v>
      </c>
      <c r="B68" s="4">
        <f>HYPERLINK("https://leetcode.com/problems/valid-parentheses/","Valid Parentheses (20)")</f>
      </c>
      <c r="C68" s="3" t="inlineStr">
        <is>
          <t xml:space="preserve">Easy</t>
        </is>
      </c>
      <c r="D68" s="3" t="inlineStr">
        <is>
          <t xml:space="preserve">Stack &amp; Queue</t>
        </is>
      </c>
      <c r="E68" s="3" t="inlineStr">
        <is>
          <t xml:space="preserve">Not started</t>
        </is>
      </c>
      <c r="L68" s="2">
        <f>IF(F68="","",F68+1)</f>
      </c>
      <c r="M68" s="2">
        <f>IF(F68="","",F68+3)</f>
      </c>
      <c r="N68" s="2">
        <f>IF(F68="","",F68+7)</f>
      </c>
      <c r="O68" s="2">
        <f>IF(F68="","",F68+14)</f>
      </c>
    </row>
    <row r="69">
      <c r="A69" s="3">
        <v>39</v>
      </c>
      <c r="B69" s="4">
        <f>HYPERLINK("https://leetcode.com/problems/implement-queue-using-stacks/","Implement Queue using Stacks (232)")</f>
      </c>
      <c r="C69" s="3" t="inlineStr">
        <is>
          <t xml:space="preserve">Easy</t>
        </is>
      </c>
      <c r="D69" s="3" t="inlineStr">
        <is>
          <t xml:space="preserve">Stack &amp; Queue</t>
        </is>
      </c>
      <c r="E69" s="3" t="inlineStr">
        <is>
          <t xml:space="preserve">Not started</t>
        </is>
      </c>
      <c r="L69" s="2">
        <f>IF(F69="","",F69+1)</f>
      </c>
      <c r="M69" s="2">
        <f>IF(F69="","",F69+3)</f>
      </c>
      <c r="N69" s="2">
        <f>IF(F69="","",F69+7)</f>
      </c>
      <c r="O69" s="2">
        <f>IF(F69="","",F69+14)</f>
      </c>
    </row>
    <row r="70">
      <c r="A70" s="3">
        <v>40</v>
      </c>
      <c r="B70" s="4">
        <f>HYPERLINK("https://leetcode.com/problems/intersection-of-two-linked-lists/","Intersection of Two Linked Lists (160)")</f>
      </c>
      <c r="C70" s="3" t="inlineStr">
        <is>
          <t xml:space="preserve">Easy</t>
        </is>
      </c>
      <c r="D70" s="3" t="inlineStr">
        <is>
          <t xml:space="preserve">Linked lists</t>
        </is>
      </c>
      <c r="E70" s="3" t="inlineStr">
        <is>
          <t xml:space="preserve">Not started</t>
        </is>
      </c>
      <c r="L70" s="2">
        <f>IF(F70="","",F70+1)</f>
      </c>
      <c r="M70" s="2">
        <f>IF(F70="","",F70+3)</f>
      </c>
      <c r="N70" s="2">
        <f>IF(F70="","",F70+7)</f>
      </c>
      <c r="O70" s="2">
        <f>IF(F70="","",F70+14)</f>
      </c>
    </row>
    <row r="71">
      <c r="A71" s="3">
        <v>40</v>
      </c>
      <c r="B71" s="4">
        <f>HYPERLINK("https://leetcode.com/problems/implement-stack-using-queues/","Implement Stack using Queues (225)")</f>
      </c>
      <c r="C71" s="3" t="inlineStr">
        <is>
          <t xml:space="preserve">Easy</t>
        </is>
      </c>
      <c r="D71" s="3" t="inlineStr">
        <is>
          <t xml:space="preserve">Stack &amp; Queue</t>
        </is>
      </c>
      <c r="E71" s="3" t="inlineStr">
        <is>
          <t xml:space="preserve">Not started</t>
        </is>
      </c>
      <c r="L71" s="2">
        <f>IF(F71="","",F71+1)</f>
      </c>
      <c r="M71" s="2">
        <f>IF(F71="","",F71+3)</f>
      </c>
      <c r="N71" s="2">
        <f>IF(F71="","",F71+7)</f>
      </c>
      <c r="O71" s="2">
        <f>IF(F71="","",F71+14)</f>
      </c>
    </row>
    <row r="72">
      <c r="A72" s="3">
        <v>40</v>
      </c>
      <c r="B72" s="4">
        <f>HYPERLINK("https://leetcode.com/problems/design-circular-queue/","Design Circular Queue (622)")</f>
      </c>
      <c r="C72" s="3" t="inlineStr">
        <is>
          <t xml:space="preserve">Medium</t>
        </is>
      </c>
      <c r="D72" s="3" t="inlineStr">
        <is>
          <t xml:space="preserve">Stack &amp; Queue</t>
        </is>
      </c>
      <c r="E72" s="3" t="inlineStr">
        <is>
          <t xml:space="preserve">Not started</t>
        </is>
      </c>
      <c r="L72" s="2">
        <f>IF(F72="","",F72+1)</f>
      </c>
      <c r="M72" s="2">
        <f>IF(F72="","",F72+3)</f>
      </c>
      <c r="N72" s="2">
        <f>IF(F72="","",F72+7)</f>
      </c>
      <c r="O72" s="2">
        <f>IF(F72="","",F72+14)</f>
      </c>
    </row>
    <row r="73">
      <c r="A73" s="3">
        <v>40</v>
      </c>
      <c r="B73" s="4">
        <f>HYPERLINK("https://leetcode.com/problems/reverse-linked-list-ii/","Reverse Linked List II (92)")</f>
      </c>
      <c r="C73" s="3" t="inlineStr">
        <is>
          <t xml:space="preserve">Medium</t>
        </is>
      </c>
      <c r="D73" s="3" t="inlineStr">
        <is>
          <t xml:space="preserve">Linked lists</t>
        </is>
      </c>
      <c r="E73" s="3" t="inlineStr">
        <is>
          <t xml:space="preserve">Not started</t>
        </is>
      </c>
      <c r="L73" s="2">
        <f>IF(F73="","",F73+1)</f>
      </c>
      <c r="M73" s="2">
        <f>IF(F73="","",F73+3)</f>
      </c>
      <c r="N73" s="2">
        <f>IF(F73="","",F73+7)</f>
      </c>
      <c r="O73" s="2">
        <f>IF(F73="","",F73+14)</f>
      </c>
    </row>
    <row r="74">
      <c r="A74" s="3">
        <v>41</v>
      </c>
      <c r="B74" s="4">
        <f>HYPERLINK("https://leetcode.com/problems/reorder-list/","Reorder List (143)")</f>
      </c>
      <c r="C74" s="3" t="inlineStr">
        <is>
          <t xml:space="preserve">Medium</t>
        </is>
      </c>
      <c r="D74" s="3" t="inlineStr">
        <is>
          <t xml:space="preserve">Linked lists</t>
        </is>
      </c>
      <c r="E74" s="3" t="inlineStr">
        <is>
          <t xml:space="preserve">Not started</t>
        </is>
      </c>
      <c r="L74" s="2">
        <f>IF(F74="","",F74+1)</f>
      </c>
      <c r="M74" s="2">
        <f>IF(F74="","",F74+3)</f>
      </c>
      <c r="N74" s="2">
        <f>IF(F74="","",F74+7)</f>
      </c>
      <c r="O74" s="2">
        <f>IF(F74="","",F74+14)</f>
      </c>
    </row>
    <row r="75">
      <c r="A75" s="3">
        <v>41</v>
      </c>
      <c r="B75" s="4">
        <f>HYPERLINK("https://leetcode.com/problems/evaluate-reverse-polish-notation/","Evaluate Reverse Polish Notation (150)")</f>
      </c>
      <c r="C75" s="3" t="inlineStr">
        <is>
          <t xml:space="preserve">Medium</t>
        </is>
      </c>
      <c r="D75" s="3" t="inlineStr">
        <is>
          <t xml:space="preserve">Stack &amp; Queue</t>
        </is>
      </c>
      <c r="E75" s="3" t="inlineStr">
        <is>
          <t xml:space="preserve">Not started</t>
        </is>
      </c>
      <c r="L75" s="2">
        <f>IF(F75="","",F75+1)</f>
      </c>
      <c r="M75" s="2">
        <f>IF(F75="","",F75+3)</f>
      </c>
      <c r="N75" s="2">
        <f>IF(F75="","",F75+7)</f>
      </c>
      <c r="O75" s="2">
        <f>IF(F75="","",F75+14)</f>
      </c>
    </row>
    <row r="76">
      <c r="A76" s="3">
        <v>41</v>
      </c>
      <c r="B76" s="4">
        <f>HYPERLINK("https://leetcode.com/problems/min-stack/","Min Stack (155)")</f>
      </c>
      <c r="C76" s="3" t="inlineStr">
        <is>
          <t xml:space="preserve">Medium</t>
        </is>
      </c>
      <c r="D76" s="3" t="inlineStr">
        <is>
          <t xml:space="preserve">Stack &amp; Queue</t>
        </is>
      </c>
      <c r="E76" s="3" t="inlineStr">
        <is>
          <t xml:space="preserve">Not started</t>
        </is>
      </c>
      <c r="L76" s="2">
        <f>IF(F76="","",F76+1)</f>
      </c>
      <c r="M76" s="2">
        <f>IF(F76="","",F76+3)</f>
      </c>
      <c r="N76" s="2">
        <f>IF(F76="","",F76+7)</f>
      </c>
      <c r="O76" s="2">
        <f>IF(F76="","",F76+14)</f>
      </c>
    </row>
    <row r="77">
      <c r="A77" s="3">
        <v>41</v>
      </c>
      <c r="B77" s="4">
        <f>HYPERLINK("https://leetcode.com/problems/add-two-numbers/","Add Two Numbers (2)")</f>
      </c>
      <c r="C77" s="3" t="inlineStr">
        <is>
          <t xml:space="preserve">Medium</t>
        </is>
      </c>
      <c r="D77" s="3" t="inlineStr">
        <is>
          <t xml:space="preserve">Linked lists</t>
        </is>
      </c>
      <c r="E77" s="3" t="inlineStr">
        <is>
          <t xml:space="preserve">Not started</t>
        </is>
      </c>
      <c r="L77" s="2">
        <f>IF(F77="","",F77+1)</f>
      </c>
      <c r="M77" s="2">
        <f>IF(F77="","",F77+3)</f>
      </c>
      <c r="N77" s="2">
        <f>IF(F77="","",F77+7)</f>
      </c>
      <c r="O77" s="2">
        <f>IF(F77="","",F77+14)</f>
      </c>
    </row>
    <row r="78">
      <c r="A78" s="3">
        <v>43</v>
      </c>
      <c r="B78" s="4">
        <f>HYPERLINK("https://leetcode.com/problems/fibonacci-number/","Fibonacci Number (509)")</f>
      </c>
      <c r="C78" s="3" t="inlineStr">
        <is>
          <t xml:space="preserve">Easy</t>
        </is>
      </c>
      <c r="D78" s="3" t="inlineStr">
        <is>
          <t xml:space="preserve">Recursion</t>
        </is>
      </c>
      <c r="E78" s="3" t="inlineStr">
        <is>
          <t xml:space="preserve">Not started</t>
        </is>
      </c>
      <c r="L78" s="2">
        <f>IF(F78="","",F78+1)</f>
      </c>
      <c r="M78" s="2">
        <f>IF(F78="","",F78+3)</f>
      </c>
      <c r="N78" s="2">
        <f>IF(F78="","",F78+7)</f>
      </c>
      <c r="O78" s="2">
        <f>IF(F78="","",F78+14)</f>
      </c>
    </row>
    <row r="79">
      <c r="A79" s="3">
        <v>43</v>
      </c>
      <c r="B79" s="4">
        <f>HYPERLINK("PROBLEMS.md#x-fib-three-ways","Fibonacci three ways: naive recursion, memo, iterative — compare cost")</f>
      </c>
      <c r="C79" s="3" t="inlineStr">
        <is>
          <t xml:space="preserve">Custom</t>
        </is>
      </c>
      <c r="D79" s="3" t="inlineStr">
        <is>
          <t xml:space="preserve">Recursion</t>
        </is>
      </c>
      <c r="E79" s="3" t="inlineStr">
        <is>
          <t xml:space="preserve">Not started</t>
        </is>
      </c>
      <c r="L79" s="2">
        <f>IF(F79="","",F79+1)</f>
      </c>
      <c r="M79" s="2">
        <f>IF(F79="","",F79+3)</f>
      </c>
      <c r="N79" s="2">
        <f>IF(F79="","",F79+7)</f>
      </c>
      <c r="O79" s="2">
        <f>IF(F79="","",F79+14)</f>
      </c>
    </row>
    <row r="80">
      <c r="A80" s="3">
        <v>43</v>
      </c>
      <c r="B80" s="4">
        <f>HYPERLINK("PROBLEMS.md#x-recursion-basics","Recursive sum, factorial, power, reverse a string — draw the call stack")</f>
      </c>
      <c r="C80" s="3" t="inlineStr">
        <is>
          <t xml:space="preserve">Custom</t>
        </is>
      </c>
      <c r="D80" s="3" t="inlineStr">
        <is>
          <t xml:space="preserve">Recursion</t>
        </is>
      </c>
      <c r="E80" s="3" t="inlineStr">
        <is>
          <t xml:space="preserve">Not started</t>
        </is>
      </c>
      <c r="L80" s="2">
        <f>IF(F80="","",F80+1)</f>
      </c>
      <c r="M80" s="2">
        <f>IF(F80="","",F80+3)</f>
      </c>
      <c r="N80" s="2">
        <f>IF(F80="","",F80+7)</f>
      </c>
      <c r="O80" s="2">
        <f>IF(F80="","",F80+14)</f>
      </c>
    </row>
    <row r="81">
      <c r="A81" s="3">
        <v>44</v>
      </c>
      <c r="B81" s="4">
        <f>HYPERLINK("https://leetcode.com/problems/powx-n/","Pow(x, n) (50)")</f>
      </c>
      <c r="C81" s="3" t="inlineStr">
        <is>
          <t xml:space="preserve">Medium</t>
        </is>
      </c>
      <c r="D81" s="3" t="inlineStr">
        <is>
          <t xml:space="preserve">Recursion</t>
        </is>
      </c>
      <c r="E81" s="3" t="inlineStr">
        <is>
          <t xml:space="preserve">Not started</t>
        </is>
      </c>
      <c r="L81" s="2">
        <f>IF(F81="","",F81+1)</f>
      </c>
      <c r="M81" s="2">
        <f>IF(F81="","",F81+3)</f>
      </c>
      <c r="N81" s="2">
        <f>IF(F81="","",F81+7)</f>
      </c>
      <c r="O81" s="2">
        <f>IF(F81="","",F81+14)</f>
      </c>
    </row>
    <row r="82">
      <c r="A82" s="3">
        <v>44</v>
      </c>
      <c r="B82" s="4">
        <f>HYPERLINK("https://leetcode.com/problems/subsets/","Subsets (78)")</f>
      </c>
      <c r="C82" s="3" t="inlineStr">
        <is>
          <t xml:space="preserve">Medium</t>
        </is>
      </c>
      <c r="D82" s="3" t="inlineStr">
        <is>
          <t xml:space="preserve">Backtracking</t>
        </is>
      </c>
      <c r="E82" s="3" t="inlineStr">
        <is>
          <t xml:space="preserve">Not started</t>
        </is>
      </c>
      <c r="L82" s="2">
        <f>IF(F82="","",F82+1)</f>
      </c>
      <c r="M82" s="2">
        <f>IF(F82="","",F82+3)</f>
      </c>
      <c r="N82" s="2">
        <f>IF(F82="","",F82+7)</f>
      </c>
      <c r="O82" s="2">
        <f>IF(F82="","",F82+14)</f>
      </c>
    </row>
    <row r="83">
      <c r="A83" s="3">
        <v>45</v>
      </c>
      <c r="B83" s="4">
        <f>HYPERLINK("https://leetcode.com/problems/letter-combinations-of-a-phone-number/","Letter Combinations of a Phone Number (17)")</f>
      </c>
      <c r="C83" s="3" t="inlineStr">
        <is>
          <t xml:space="preserve">Medium</t>
        </is>
      </c>
      <c r="D83" s="3" t="inlineStr">
        <is>
          <t xml:space="preserve">Backtracking</t>
        </is>
      </c>
      <c r="E83" s="3" t="inlineStr">
        <is>
          <t xml:space="preserve">Not started</t>
        </is>
      </c>
      <c r="L83" s="2">
        <f>IF(F83="","",F83+1)</f>
      </c>
      <c r="M83" s="2">
        <f>IF(F83="","",F83+3)</f>
      </c>
      <c r="N83" s="2">
        <f>IF(F83="","",F83+7)</f>
      </c>
      <c r="O83" s="2">
        <f>IF(F83="","",F83+14)</f>
      </c>
    </row>
    <row r="84">
      <c r="A84" s="3">
        <v>45</v>
      </c>
      <c r="B84" s="4">
        <f>HYPERLINK("https://leetcode.com/problems/permutations/","Permutations (46)")</f>
      </c>
      <c r="C84" s="3" t="inlineStr">
        <is>
          <t xml:space="preserve">Medium</t>
        </is>
      </c>
      <c r="D84" s="3" t="inlineStr">
        <is>
          <t xml:space="preserve">Backtracking</t>
        </is>
      </c>
      <c r="E84" s="3" t="inlineStr">
        <is>
          <t xml:space="preserve">Not started</t>
        </is>
      </c>
      <c r="L84" s="2">
        <f>IF(F84="","",F84+1)</f>
      </c>
      <c r="M84" s="2">
        <f>IF(F84="","",F84+3)</f>
      </c>
      <c r="N84" s="2">
        <f>IF(F84="","",F84+7)</f>
      </c>
      <c r="O84" s="2">
        <f>IF(F84="","",F84+14)</f>
      </c>
    </row>
    <row r="85">
      <c r="A85" s="3">
        <v>46</v>
      </c>
      <c r="B85" s="4">
        <f>HYPERLINK("https://leetcode.com/problems/generate-parentheses/","Generate Parentheses (22)")</f>
      </c>
      <c r="C85" s="3" t="inlineStr">
        <is>
          <t xml:space="preserve">Medium</t>
        </is>
      </c>
      <c r="D85" s="3" t="inlineStr">
        <is>
          <t xml:space="preserve">Backtracking</t>
        </is>
      </c>
      <c r="E85" s="3" t="inlineStr">
        <is>
          <t xml:space="preserve">Not started</t>
        </is>
      </c>
      <c r="L85" s="2">
        <f>IF(F85="","",F85+1)</f>
      </c>
      <c r="M85" s="2">
        <f>IF(F85="","",F85+3)</f>
      </c>
      <c r="N85" s="2">
        <f>IF(F85="","",F85+7)</f>
      </c>
      <c r="O85" s="2">
        <f>IF(F85="","",F85+14)</f>
      </c>
    </row>
    <row r="86">
      <c r="A86" s="3">
        <v>46</v>
      </c>
      <c r="B86" s="4">
        <f>HYPERLINK("https://leetcode.com/problems/combination-sum/","Combination Sum (39)")</f>
      </c>
      <c r="C86" s="3" t="inlineStr">
        <is>
          <t xml:space="preserve">Medium</t>
        </is>
      </c>
      <c r="D86" s="3" t="inlineStr">
        <is>
          <t xml:space="preserve">Backtracking</t>
        </is>
      </c>
      <c r="E86" s="3" t="inlineStr">
        <is>
          <t xml:space="preserve">Not started</t>
        </is>
      </c>
      <c r="L86" s="2">
        <f>IF(F86="","",F86+1)</f>
      </c>
      <c r="M86" s="2">
        <f>IF(F86="","",F86+3)</f>
      </c>
      <c r="N86" s="2">
        <f>IF(F86="","",F86+7)</f>
      </c>
      <c r="O86" s="2">
        <f>IF(F86="","",F86+14)</f>
      </c>
    </row>
    <row r="87">
      <c r="A87" s="3">
        <v>47</v>
      </c>
      <c r="B87" s="4">
        <f>HYPERLINK("https://leetcode.com/problems/combination-sum-iii/","Combination Sum III (216)")</f>
      </c>
      <c r="C87" s="3" t="inlineStr">
        <is>
          <t xml:space="preserve">Medium</t>
        </is>
      </c>
      <c r="D87" s="3" t="inlineStr">
        <is>
          <t xml:space="preserve">Backtracking</t>
        </is>
      </c>
      <c r="E87" s="3" t="inlineStr">
        <is>
          <t xml:space="preserve">Not started</t>
        </is>
      </c>
      <c r="L87" s="2">
        <f>IF(F87="","",F87+1)</f>
      </c>
      <c r="M87" s="2">
        <f>IF(F87="","",F87+3)</f>
      </c>
      <c r="N87" s="2">
        <f>IF(F87="","",F87+7)</f>
      </c>
      <c r="O87" s="2">
        <f>IF(F87="","",F87+14)</f>
      </c>
    </row>
    <row r="88">
      <c r="A88" s="3">
        <v>47</v>
      </c>
      <c r="B88" s="4">
        <f>HYPERLINK("https://leetcode.com/problems/combination-sum-ii/","Combination Sum II (40)")</f>
      </c>
      <c r="C88" s="3" t="inlineStr">
        <is>
          <t xml:space="preserve">Medium</t>
        </is>
      </c>
      <c r="D88" s="3" t="inlineStr">
        <is>
          <t xml:space="preserve">Backtracking</t>
        </is>
      </c>
      <c r="E88" s="3" t="inlineStr">
        <is>
          <t xml:space="preserve">Not started</t>
        </is>
      </c>
      <c r="L88" s="2">
        <f>IF(F88="","",F88+1)</f>
      </c>
      <c r="M88" s="2">
        <f>IF(F88="","",F88+3)</f>
      </c>
      <c r="N88" s="2">
        <f>IF(F88="","",F88+7)</f>
      </c>
      <c r="O88" s="2">
        <f>IF(F88="","",F88+14)</f>
      </c>
    </row>
    <row r="89">
      <c r="A89" s="3">
        <v>48</v>
      </c>
      <c r="B89" s="4">
        <f>HYPERLINK("https://leetcode.com/problems/palindrome-partitioning/","Palindrome Partitioning (131)")</f>
      </c>
      <c r="C89" s="3" t="inlineStr">
        <is>
          <t xml:space="preserve">Medium</t>
        </is>
      </c>
      <c r="D89" s="3" t="inlineStr">
        <is>
          <t xml:space="preserve">Backtracking</t>
        </is>
      </c>
      <c r="E89" s="3" t="inlineStr">
        <is>
          <t xml:space="preserve">Not started</t>
        </is>
      </c>
      <c r="L89" s="2">
        <f>IF(F89="","",F89+1)</f>
      </c>
      <c r="M89" s="2">
        <f>IF(F89="","",F89+3)</f>
      </c>
      <c r="N89" s="2">
        <f>IF(F89="","",F89+7)</f>
      </c>
      <c r="O89" s="2">
        <f>IF(F89="","",F89+14)</f>
      </c>
    </row>
    <row r="90">
      <c r="A90" s="3">
        <v>48</v>
      </c>
      <c r="B90" s="4">
        <f>HYPERLINK("https://leetcode.com/problems/permutations-ii/","Permutations II (47)")</f>
      </c>
      <c r="C90" s="3" t="inlineStr">
        <is>
          <t xml:space="preserve">Medium</t>
        </is>
      </c>
      <c r="D90" s="3" t="inlineStr">
        <is>
          <t xml:space="preserve">Backtracking</t>
        </is>
      </c>
      <c r="E90" s="3" t="inlineStr">
        <is>
          <t xml:space="preserve">Not started</t>
        </is>
      </c>
      <c r="L90" s="2">
        <f>IF(F90="","",F90+1)</f>
      </c>
      <c r="M90" s="2">
        <f>IF(F90="","",F90+3)</f>
      </c>
      <c r="N90" s="2">
        <f>IF(F90="","",F90+7)</f>
      </c>
      <c r="O90" s="2">
        <f>IF(F90="","",F90+14)</f>
      </c>
    </row>
    <row r="91">
      <c r="A91" s="3">
        <v>48</v>
      </c>
      <c r="B91" s="4">
        <f>HYPERLINK("https://leetcode.com/problems/word-search/","Word Search (79)")</f>
      </c>
      <c r="C91" s="3" t="inlineStr">
        <is>
          <t xml:space="preserve">Medium</t>
        </is>
      </c>
      <c r="D91" s="3" t="inlineStr">
        <is>
          <t xml:space="preserve">Backtracking</t>
        </is>
      </c>
      <c r="E91" s="3" t="inlineStr">
        <is>
          <t xml:space="preserve">Not started</t>
        </is>
      </c>
      <c r="L91" s="2">
        <f>IF(F91="","",F91+1)</f>
      </c>
      <c r="M91" s="2">
        <f>IF(F91="","",F91+3)</f>
      </c>
      <c r="N91" s="2">
        <f>IF(F91="","",F91+7)</f>
      </c>
      <c r="O91" s="2">
        <f>IF(F91="","",F91+14)</f>
      </c>
    </row>
    <row r="92">
      <c r="A92" s="3">
        <v>48</v>
      </c>
      <c r="B92" s="4">
        <f>HYPERLINK("https://leetcode.com/problems/subsets-ii/","Subsets II (90)")</f>
      </c>
      <c r="C92" s="3" t="inlineStr">
        <is>
          <t xml:space="preserve">Medium</t>
        </is>
      </c>
      <c r="D92" s="3" t="inlineStr">
        <is>
          <t xml:space="preserve">Backtracking</t>
        </is>
      </c>
      <c r="E92" s="3" t="inlineStr">
        <is>
          <t xml:space="preserve">Not started</t>
        </is>
      </c>
      <c r="L92" s="2">
        <f>IF(F92="","",F92+1)</f>
      </c>
      <c r="M92" s="2">
        <f>IF(F92="","",F92+3)</f>
      </c>
      <c r="N92" s="2">
        <f>IF(F92="","",F92+7)</f>
      </c>
      <c r="O92" s="2">
        <f>IF(F92="","",F92+14)</f>
      </c>
    </row>
    <row r="93">
      <c r="A93" s="3">
        <v>49</v>
      </c>
      <c r="B93" s="4">
        <f>HYPERLINK("https://leetcode.com/problems/n-queens/","N-Queens (51)")</f>
      </c>
      <c r="C93" s="3" t="inlineStr">
        <is>
          <t xml:space="preserve">Hard</t>
        </is>
      </c>
      <c r="D93" s="3" t="inlineStr">
        <is>
          <t xml:space="preserve">Backtracking</t>
        </is>
      </c>
      <c r="E93" s="3" t="inlineStr">
        <is>
          <t xml:space="preserve">Not started</t>
        </is>
      </c>
      <c r="L93" s="2">
        <f>IF(F93="","",F93+1)</f>
      </c>
      <c r="M93" s="2">
        <f>IF(F93="","",F93+3)</f>
      </c>
      <c r="N93" s="2">
        <f>IF(F93="","",F93+7)</f>
      </c>
      <c r="O93" s="2">
        <f>IF(F93="","",F93+14)</f>
      </c>
    </row>
    <row r="94">
      <c r="A94" s="3">
        <v>50</v>
      </c>
      <c r="B94" s="4">
        <f>HYPERLINK("https://leetcode.com/problems/same-tree/","Same Tree (100)")</f>
      </c>
      <c r="C94" s="3" t="inlineStr">
        <is>
          <t xml:space="preserve">Easy</t>
        </is>
      </c>
      <c r="D94" s="3" t="inlineStr">
        <is>
          <t xml:space="preserve">Trees</t>
        </is>
      </c>
      <c r="E94" s="3" t="inlineStr">
        <is>
          <t xml:space="preserve">Not started</t>
        </is>
      </c>
      <c r="L94" s="2">
        <f>IF(F94="","",F94+1)</f>
      </c>
      <c r="M94" s="2">
        <f>IF(F94="","",F94+3)</f>
      </c>
      <c r="N94" s="2">
        <f>IF(F94="","",F94+7)</f>
      </c>
      <c r="O94" s="2">
        <f>IF(F94="","",F94+14)</f>
      </c>
    </row>
    <row r="95">
      <c r="A95" s="3">
        <v>50</v>
      </c>
      <c r="B95" s="4">
        <f>HYPERLINK("https://leetcode.com/problems/maximum-depth-of-binary-tree/","Maximum Depth of Binary Tree (104)")</f>
      </c>
      <c r="C95" s="3" t="inlineStr">
        <is>
          <t xml:space="preserve">Easy</t>
        </is>
      </c>
      <c r="D95" s="3" t="inlineStr">
        <is>
          <t xml:space="preserve">Trees</t>
        </is>
      </c>
      <c r="E95" s="3" t="inlineStr">
        <is>
          <t xml:space="preserve">Not started</t>
        </is>
      </c>
      <c r="L95" s="2">
        <f>IF(F95="","",F95+1)</f>
      </c>
      <c r="M95" s="2">
        <f>IF(F95="","",F95+3)</f>
      </c>
      <c r="N95" s="2">
        <f>IF(F95="","",F95+7)</f>
      </c>
      <c r="O95" s="2">
        <f>IF(F95="","",F95+14)</f>
      </c>
    </row>
    <row r="96">
      <c r="A96" s="3">
        <v>50</v>
      </c>
      <c r="B96" s="4">
        <f>HYPERLINK("https://leetcode.com/problems/invert-binary-tree/","Invert Binary Tree (226)")</f>
      </c>
      <c r="C96" s="3" t="inlineStr">
        <is>
          <t xml:space="preserve">Easy</t>
        </is>
      </c>
      <c r="D96" s="3" t="inlineStr">
        <is>
          <t xml:space="preserve">Trees</t>
        </is>
      </c>
      <c r="E96" s="3" t="inlineStr">
        <is>
          <t xml:space="preserve">Not started</t>
        </is>
      </c>
      <c r="L96" s="2">
        <f>IF(F96="","",F96+1)</f>
      </c>
      <c r="M96" s="2">
        <f>IF(F96="","",F96+3)</f>
      </c>
      <c r="N96" s="2">
        <f>IF(F96="","",F96+7)</f>
      </c>
      <c r="O96" s="2">
        <f>IF(F96="","",F96+14)</f>
      </c>
    </row>
    <row r="97">
      <c r="A97" s="3">
        <v>51</v>
      </c>
      <c r="B97" s="4">
        <f>HYPERLINK("https://leetcode.com/problems/binary-tree-level-order-traversal/","Binary Tree Level Order Traversal (102)")</f>
      </c>
      <c r="C97" s="3" t="inlineStr">
        <is>
          <t xml:space="preserve">Medium</t>
        </is>
      </c>
      <c r="D97" s="3" t="inlineStr">
        <is>
          <t xml:space="preserve">Trees</t>
        </is>
      </c>
      <c r="E97" s="3" t="inlineStr">
        <is>
          <t xml:space="preserve">Not started</t>
        </is>
      </c>
      <c r="L97" s="2">
        <f>IF(F97="","",F97+1)</f>
      </c>
      <c r="M97" s="2">
        <f>IF(F97="","",F97+3)</f>
      </c>
      <c r="N97" s="2">
        <f>IF(F97="","",F97+7)</f>
      </c>
      <c r="O97" s="2">
        <f>IF(F97="","",F97+14)</f>
      </c>
    </row>
    <row r="98">
      <c r="A98" s="3">
        <v>51</v>
      </c>
      <c r="B98" s="4">
        <f>HYPERLINK("https://leetcode.com/problems/binary-tree-right-side-view/","Binary Tree Right Side View (199)")</f>
      </c>
      <c r="C98" s="3" t="inlineStr">
        <is>
          <t xml:space="preserve">Medium</t>
        </is>
      </c>
      <c r="D98" s="3" t="inlineStr">
        <is>
          <t xml:space="preserve">Trees</t>
        </is>
      </c>
      <c r="E98" s="3" t="inlineStr">
        <is>
          <t xml:space="preserve">Not started</t>
        </is>
      </c>
      <c r="L98" s="2">
        <f>IF(F98="","",F98+1)</f>
      </c>
      <c r="M98" s="2">
        <f>IF(F98="","",F98+3)</f>
      </c>
      <c r="N98" s="2">
        <f>IF(F98="","",F98+7)</f>
      </c>
      <c r="O98" s="2">
        <f>IF(F98="","",F98+14)</f>
      </c>
    </row>
    <row r="99">
      <c r="A99" s="3">
        <v>52</v>
      </c>
      <c r="B99" s="4">
        <f>HYPERLINK("https://leetcode.com/problems/kth-smallest-element-in-a-bst/","Kth Smallest Element in a BST (230)")</f>
      </c>
      <c r="C99" s="3" t="inlineStr">
        <is>
          <t xml:space="preserve">Medium</t>
        </is>
      </c>
      <c r="D99" s="3" t="inlineStr">
        <is>
          <t xml:space="preserve">BST</t>
        </is>
      </c>
      <c r="E99" s="3" t="inlineStr">
        <is>
          <t xml:space="preserve">Not started</t>
        </is>
      </c>
      <c r="L99" s="2">
        <f>IF(F99="","",F99+1)</f>
      </c>
      <c r="M99" s="2">
        <f>IF(F99="","",F99+3)</f>
      </c>
      <c r="N99" s="2">
        <f>IF(F99="","",F99+7)</f>
      </c>
      <c r="O99" s="2">
        <f>IF(F99="","",F99+14)</f>
      </c>
    </row>
    <row r="100">
      <c r="A100" s="3">
        <v>52</v>
      </c>
      <c r="B100" s="4">
        <f>HYPERLINK("https://leetcode.com/problems/validate-binary-search-tree/","Validate Binary Search Tree (98)")</f>
      </c>
      <c r="C100" s="3" t="inlineStr">
        <is>
          <t xml:space="preserve">Medium</t>
        </is>
      </c>
      <c r="D100" s="3" t="inlineStr">
        <is>
          <t xml:space="preserve">BST</t>
        </is>
      </c>
      <c r="E100" s="3" t="inlineStr">
        <is>
          <t xml:space="preserve">Not started</t>
        </is>
      </c>
      <c r="L100" s="2">
        <f>IF(F100="","",F100+1)</f>
      </c>
      <c r="M100" s="2">
        <f>IF(F100="","",F100+3)</f>
      </c>
      <c r="N100" s="2">
        <f>IF(F100="","",F100+7)</f>
      </c>
      <c r="O100" s="2">
        <f>IF(F100="","",F100+14)</f>
      </c>
    </row>
    <row r="101">
      <c r="A101" s="3">
        <v>53</v>
      </c>
      <c r="B101" s="4">
        <f>HYPERLINK("https://leetcode.com/problems/balanced-binary-tree/","Balanced Binary Tree (110)")</f>
      </c>
      <c r="C101" s="3" t="inlineStr">
        <is>
          <t xml:space="preserve">Easy</t>
        </is>
      </c>
      <c r="D101" s="3" t="inlineStr">
        <is>
          <t xml:space="preserve">Trees</t>
        </is>
      </c>
      <c r="E101" s="3" t="inlineStr">
        <is>
          <t xml:space="preserve">Not started</t>
        </is>
      </c>
      <c r="L101" s="2">
        <f>IF(F101="","",F101+1)</f>
      </c>
      <c r="M101" s="2">
        <f>IF(F101="","",F101+3)</f>
      </c>
      <c r="N101" s="2">
        <f>IF(F101="","",F101+7)</f>
      </c>
      <c r="O101" s="2">
        <f>IF(F101="","",F101+14)</f>
      </c>
    </row>
    <row r="102">
      <c r="A102" s="3">
        <v>53</v>
      </c>
      <c r="B102" s="4">
        <f>HYPERLINK("https://leetcode.com/problems/lowest-common-ancestor-of-a-binary-search-tree/","Lowest Common Ancestor of a Binary Search Tree (235)")</f>
      </c>
      <c r="C102" s="3" t="inlineStr">
        <is>
          <t xml:space="preserve">Medium</t>
        </is>
      </c>
      <c r="D102" s="3" t="inlineStr">
        <is>
          <t xml:space="preserve">BST</t>
        </is>
      </c>
      <c r="E102" s="3" t="inlineStr">
        <is>
          <t xml:space="preserve">Not started</t>
        </is>
      </c>
      <c r="L102" s="2">
        <f>IF(F102="","",F102+1)</f>
      </c>
      <c r="M102" s="2">
        <f>IF(F102="","",F102+3)</f>
      </c>
      <c r="N102" s="2">
        <f>IF(F102="","",F102+7)</f>
      </c>
      <c r="O102" s="2">
        <f>IF(F102="","",F102+14)</f>
      </c>
    </row>
    <row r="103">
      <c r="A103" s="3">
        <v>53</v>
      </c>
      <c r="B103" s="4">
        <f>HYPERLINK("https://leetcode.com/problems/diameter-of-binary-tree/","Diameter of Binary Tree (543)")</f>
      </c>
      <c r="C103" s="3" t="inlineStr">
        <is>
          <t xml:space="preserve">Easy</t>
        </is>
      </c>
      <c r="D103" s="3" t="inlineStr">
        <is>
          <t xml:space="preserve">Trees</t>
        </is>
      </c>
      <c r="E103" s="3" t="inlineStr">
        <is>
          <t xml:space="preserve">Not started</t>
        </is>
      </c>
      <c r="L103" s="2">
        <f>IF(F103="","",F103+1)</f>
      </c>
      <c r="M103" s="2">
        <f>IF(F103="","",F103+3)</f>
      </c>
      <c r="N103" s="2">
        <f>IF(F103="","",F103+7)</f>
      </c>
      <c r="O103" s="2">
        <f>IF(F103="","",F103+14)</f>
      </c>
    </row>
    <row r="104">
      <c r="A104" s="3">
        <v>54</v>
      </c>
      <c r="B104" s="4">
        <f>HYPERLINK("https://leetcode.com/problems/convert-sorted-array-to-binary-search-tree/","Convert Sorted Array to Binary Search Tree (108)")</f>
      </c>
      <c r="C104" s="3" t="inlineStr">
        <is>
          <t xml:space="preserve">Easy</t>
        </is>
      </c>
      <c r="D104" s="3" t="inlineStr">
        <is>
          <t xml:space="preserve">BST</t>
        </is>
      </c>
      <c r="E104" s="3" t="inlineStr">
        <is>
          <t xml:space="preserve">Not started</t>
        </is>
      </c>
      <c r="L104" s="2">
        <f>IF(F104="","",F104+1)</f>
      </c>
      <c r="M104" s="2">
        <f>IF(F104="","",F104+3)</f>
      </c>
      <c r="N104" s="2">
        <f>IF(F104="","",F104+7)</f>
      </c>
      <c r="O104" s="2">
        <f>IF(F104="","",F104+14)</f>
      </c>
    </row>
    <row r="105">
      <c r="A105" s="3">
        <v>54</v>
      </c>
      <c r="B105" s="4">
        <f>HYPERLINK("https://leetcode.com/problems/inorder-successor-in-bst/","Inorder Successor in BST (285)")</f>
      </c>
      <c r="C105" s="3" t="inlineStr">
        <is>
          <t xml:space="preserve">Medium</t>
        </is>
      </c>
      <c r="D105" s="3" t="inlineStr">
        <is>
          <t xml:space="preserve">BST</t>
        </is>
      </c>
      <c r="E105" s="3" t="inlineStr">
        <is>
          <t xml:space="preserve">Not started</t>
        </is>
      </c>
      <c r="L105" s="2">
        <f>IF(F105="","",F105+1)</f>
      </c>
      <c r="M105" s="2">
        <f>IF(F105="","",F105+3)</f>
      </c>
      <c r="N105" s="2">
        <f>IF(F105="","",F105+7)</f>
      </c>
      <c r="O105" s="2">
        <f>IF(F105="","",F105+14)</f>
      </c>
    </row>
    <row r="106">
      <c r="A106" s="3">
        <v>54</v>
      </c>
      <c r="B106" s="4">
        <f>HYPERLINK("https://leetcode.com/problems/subtree-of-another-tree/","Subtree of Another Tree (572)")</f>
      </c>
      <c r="C106" s="3" t="inlineStr">
        <is>
          <t xml:space="preserve">Easy</t>
        </is>
      </c>
      <c r="D106" s="3" t="inlineStr">
        <is>
          <t xml:space="preserve">Trees</t>
        </is>
      </c>
      <c r="E106" s="3" t="inlineStr">
        <is>
          <t xml:space="preserve">Not started</t>
        </is>
      </c>
      <c r="L106" s="2">
        <f>IF(F106="","",F106+1)</f>
      </c>
      <c r="M106" s="2">
        <f>IF(F106="","",F106+3)</f>
      </c>
      <c r="N106" s="2">
        <f>IF(F106="","",F106+7)</f>
      </c>
      <c r="O106" s="2">
        <f>IF(F106="","",F106+14)</f>
      </c>
    </row>
    <row r="107">
      <c r="A107" s="3">
        <v>55</v>
      </c>
      <c r="B107" s="4">
        <f>HYPERLINK("https://leetcode.com/problems/construct-binary-tree-from-preorder-and-inorder-traversal/","Construct Binary Tree from Preorder and Inorder Traversal (105)")</f>
      </c>
      <c r="C107" s="3" t="inlineStr">
        <is>
          <t xml:space="preserve">Medium</t>
        </is>
      </c>
      <c r="D107" s="3" t="inlineStr">
        <is>
          <t xml:space="preserve">Trees</t>
        </is>
      </c>
      <c r="E107" s="3" t="inlineStr">
        <is>
          <t xml:space="preserve">Not started</t>
        </is>
      </c>
      <c r="L107" s="2">
        <f>IF(F107="","",F107+1)</f>
      </c>
      <c r="M107" s="2">
        <f>IF(F107="","",F107+3)</f>
      </c>
      <c r="N107" s="2">
        <f>IF(F107="","",F107+7)</f>
      </c>
      <c r="O107" s="2">
        <f>IF(F107="","",F107+14)</f>
      </c>
    </row>
    <row r="108">
      <c r="A108" s="3">
        <v>55</v>
      </c>
      <c r="B108" s="4">
        <f>HYPERLINK("https://leetcode.com/problems/path-sum/","Path Sum (112)")</f>
      </c>
      <c r="C108" s="3" t="inlineStr">
        <is>
          <t xml:space="preserve">Easy</t>
        </is>
      </c>
      <c r="D108" s="3" t="inlineStr">
        <is>
          <t xml:space="preserve">Trees</t>
        </is>
      </c>
      <c r="E108" s="3" t="inlineStr">
        <is>
          <t xml:space="preserve">Not started</t>
        </is>
      </c>
      <c r="L108" s="2">
        <f>IF(F108="","",F108+1)</f>
      </c>
      <c r="M108" s="2">
        <f>IF(F108="","",F108+3)</f>
      </c>
      <c r="N108" s="2">
        <f>IF(F108="","",F108+7)</f>
      </c>
      <c r="O108" s="2">
        <f>IF(F108="","",F108+14)</f>
      </c>
    </row>
    <row r="109">
      <c r="A109" s="3">
        <v>55</v>
      </c>
      <c r="B109" s="4">
        <f>HYPERLINK("https://leetcode.com/problems/count-good-nodes-in-binary-tree/","Count Good Nodes in Binary Tree (1448)")</f>
      </c>
      <c r="C109" s="3" t="inlineStr">
        <is>
          <t xml:space="preserve">Medium</t>
        </is>
      </c>
      <c r="D109" s="3" t="inlineStr">
        <is>
          <t xml:space="preserve">Trees</t>
        </is>
      </c>
      <c r="E109" s="3" t="inlineStr">
        <is>
          <t xml:space="preserve">Not started</t>
        </is>
      </c>
      <c r="L109" s="2">
        <f>IF(F109="","",F109+1)</f>
      </c>
      <c r="M109" s="2">
        <f>IF(F109="","",F109+3)</f>
      </c>
      <c r="N109" s="2">
        <f>IF(F109="","",F109+7)</f>
      </c>
      <c r="O109" s="2">
        <f>IF(F109="","",F109+14)</f>
      </c>
    </row>
    <row r="110">
      <c r="A110" s="3">
        <v>55</v>
      </c>
      <c r="B110" s="4">
        <f>HYPERLINK("https://leetcode.com/problems/lowest-common-ancestor-of-a-binary-tree/","Lowest Common Ancestor of a Binary Tree (236)")</f>
      </c>
      <c r="C110" s="3" t="inlineStr">
        <is>
          <t xml:space="preserve">Medium</t>
        </is>
      </c>
      <c r="D110" s="3" t="inlineStr">
        <is>
          <t xml:space="preserve">Trees</t>
        </is>
      </c>
      <c r="E110" s="3" t="inlineStr">
        <is>
          <t xml:space="preserve">Not started</t>
        </is>
      </c>
      <c r="L110" s="2">
        <f>IF(F110="","",F110+1)</f>
      </c>
      <c r="M110" s="2">
        <f>IF(F110="","",F110+3)</f>
      </c>
      <c r="N110" s="2">
        <f>IF(F110="","",F110+7)</f>
      </c>
      <c r="O110" s="2">
        <f>IF(F110="","",F110+14)</f>
      </c>
    </row>
    <row r="111">
      <c r="A111" s="3">
        <v>57</v>
      </c>
      <c r="B111" s="4">
        <f>HYPERLINK("https://leetcode.com/problems/last-stone-weight/","Last Stone Weight (1046)")</f>
      </c>
      <c r="C111" s="3" t="inlineStr">
        <is>
          <t xml:space="preserve">Easy</t>
        </is>
      </c>
      <c r="D111" s="3" t="inlineStr">
        <is>
          <t xml:space="preserve">Heaps</t>
        </is>
      </c>
      <c r="E111" s="3" t="inlineStr">
        <is>
          <t xml:space="preserve">Not started</t>
        </is>
      </c>
      <c r="L111" s="2">
        <f>IF(F111="","",F111+1)</f>
      </c>
      <c r="M111" s="2">
        <f>IF(F111="","",F111+3)</f>
      </c>
      <c r="N111" s="2">
        <f>IF(F111="","",F111+7)</f>
      </c>
      <c r="O111" s="2">
        <f>IF(F111="","",F111+14)</f>
      </c>
    </row>
    <row r="112">
      <c r="A112" s="3">
        <v>57</v>
      </c>
      <c r="B112" s="4">
        <f>HYPERLINK("https://leetcode.com/problems/kth-largest-element-in-an-array/","Kth Largest Element in an Array (215)")</f>
      </c>
      <c r="C112" s="3" t="inlineStr">
        <is>
          <t xml:space="preserve">Medium</t>
        </is>
      </c>
      <c r="D112" s="3" t="inlineStr">
        <is>
          <t xml:space="preserve">Heaps</t>
        </is>
      </c>
      <c r="E112" s="3" t="inlineStr">
        <is>
          <t xml:space="preserve">Not started</t>
        </is>
      </c>
      <c r="L112" s="2">
        <f>IF(F112="","",F112+1)</f>
      </c>
      <c r="M112" s="2">
        <f>IF(F112="","",F112+3)</f>
      </c>
      <c r="N112" s="2">
        <f>IF(F112="","",F112+7)</f>
      </c>
      <c r="O112" s="2">
        <f>IF(F112="","",F112+14)</f>
      </c>
    </row>
    <row r="113">
      <c r="A113" s="3">
        <v>58</v>
      </c>
      <c r="B113" s="4">
        <f>HYPERLINK("https://leetcode.com/problems/top-k-frequent-elements/","Top K Frequent Elements (347)")</f>
      </c>
      <c r="C113" s="3" t="inlineStr">
        <is>
          <t xml:space="preserve">Medium</t>
        </is>
      </c>
      <c r="D113" s="3" t="inlineStr">
        <is>
          <t xml:space="preserve">Heaps</t>
        </is>
      </c>
      <c r="E113" s="3" t="inlineStr">
        <is>
          <t xml:space="preserve">Not started</t>
        </is>
      </c>
      <c r="L113" s="2">
        <f>IF(F113="","",F113+1)</f>
      </c>
      <c r="M113" s="2">
        <f>IF(F113="","",F113+3)</f>
      </c>
      <c r="N113" s="2">
        <f>IF(F113="","",F113+7)</f>
      </c>
      <c r="O113" s="2">
        <f>IF(F113="","",F113+14)</f>
      </c>
    </row>
    <row r="114">
      <c r="A114" s="3">
        <v>58</v>
      </c>
      <c r="B114" s="4">
        <f>HYPERLINK("https://leetcode.com/problems/k-closest-points-to-origin/","K Closest Points to Origin (973)")</f>
      </c>
      <c r="C114" s="3" t="inlineStr">
        <is>
          <t xml:space="preserve">Medium</t>
        </is>
      </c>
      <c r="D114" s="3" t="inlineStr">
        <is>
          <t xml:space="preserve">Heaps</t>
        </is>
      </c>
      <c r="E114" s="3" t="inlineStr">
        <is>
          <t xml:space="preserve">Not started</t>
        </is>
      </c>
      <c r="L114" s="2">
        <f>IF(F114="","",F114+1)</f>
      </c>
      <c r="M114" s="2">
        <f>IF(F114="","",F114+3)</f>
      </c>
      <c r="N114" s="2">
        <f>IF(F114="","",F114+7)</f>
      </c>
      <c r="O114" s="2">
        <f>IF(F114="","",F114+14)</f>
      </c>
    </row>
    <row r="115">
      <c r="A115" s="3">
        <v>59</v>
      </c>
      <c r="B115" s="4">
        <f>HYPERLINK("https://leetcode.com/problems/merge-k-sorted-lists/","Merge k Sorted Lists (23)")</f>
      </c>
      <c r="C115" s="3" t="inlineStr">
        <is>
          <t xml:space="preserve">Hard</t>
        </is>
      </c>
      <c r="D115" s="3" t="inlineStr">
        <is>
          <t xml:space="preserve">Heaps</t>
        </is>
      </c>
      <c r="E115" s="3" t="inlineStr">
        <is>
          <t xml:space="preserve">Not started</t>
        </is>
      </c>
      <c r="L115" s="2">
        <f>IF(F115="","",F115+1)</f>
      </c>
      <c r="M115" s="2">
        <f>IF(F115="","",F115+3)</f>
      </c>
      <c r="N115" s="2">
        <f>IF(F115="","",F115+7)</f>
      </c>
      <c r="O115" s="2">
        <f>IF(F115="","",F115+14)</f>
      </c>
    </row>
    <row r="116">
      <c r="A116" s="3">
        <v>59</v>
      </c>
      <c r="B116" s="4">
        <f>HYPERLINK("https://leetcode.com/problems/task-scheduler/","Task Scheduler (621)")</f>
      </c>
      <c r="C116" s="3" t="inlineStr">
        <is>
          <t xml:space="preserve">Medium</t>
        </is>
      </c>
      <c r="D116" s="3" t="inlineStr">
        <is>
          <t xml:space="preserve">Heaps</t>
        </is>
      </c>
      <c r="E116" s="3" t="inlineStr">
        <is>
          <t xml:space="preserve">Not started</t>
        </is>
      </c>
      <c r="L116" s="2">
        <f>IF(F116="","",F116+1)</f>
      </c>
      <c r="M116" s="2">
        <f>IF(F116="","",F116+3)</f>
      </c>
      <c r="N116" s="2">
        <f>IF(F116="","",F116+7)</f>
      </c>
      <c r="O116" s="2">
        <f>IF(F116="","",F116+14)</f>
      </c>
    </row>
    <row r="117">
      <c r="A117" s="3">
        <v>60</v>
      </c>
      <c r="B117" s="4">
        <f>HYPERLINK("https://leetcode.com/problems/find-median-from-data-stream/","Find Median from Data Stream (295)")</f>
      </c>
      <c r="C117" s="3" t="inlineStr">
        <is>
          <t xml:space="preserve">Hard</t>
        </is>
      </c>
      <c r="D117" s="3" t="inlineStr">
        <is>
          <t xml:space="preserve">Heaps</t>
        </is>
      </c>
      <c r="E117" s="3" t="inlineStr">
        <is>
          <t xml:space="preserve">Not started</t>
        </is>
      </c>
      <c r="L117" s="2">
        <f>IF(F117="","",F117+1)</f>
      </c>
      <c r="M117" s="2">
        <f>IF(F117="","",F117+3)</f>
      </c>
      <c r="N117" s="2">
        <f>IF(F117="","",F117+7)</f>
      </c>
      <c r="O117" s="2">
        <f>IF(F117="","",F117+14)</f>
      </c>
    </row>
    <row r="118">
      <c r="A118" s="3">
        <v>61</v>
      </c>
      <c r="B118" s="4">
        <f>HYPERLINK("https://leetcode.com/problems/kth-largest-element-in-a-stream/","Kth Largest Element in a Stream (703)")</f>
      </c>
      <c r="C118" s="3" t="inlineStr">
        <is>
          <t xml:space="preserve">Easy</t>
        </is>
      </c>
      <c r="D118" s="3" t="inlineStr">
        <is>
          <t xml:space="preserve">Heaps</t>
        </is>
      </c>
      <c r="E118" s="3" t="inlineStr">
        <is>
          <t xml:space="preserve">Not started</t>
        </is>
      </c>
      <c r="L118" s="2">
        <f>IF(F118="","",F118+1)</f>
      </c>
      <c r="M118" s="2">
        <f>IF(F118="","",F118+3)</f>
      </c>
      <c r="N118" s="2">
        <f>IF(F118="","",F118+7)</f>
      </c>
      <c r="O118" s="2">
        <f>IF(F118="","",F118+14)</f>
      </c>
    </row>
    <row r="119">
      <c r="A119" s="3">
        <v>62</v>
      </c>
      <c r="B119" s="4">
        <f>HYPERLINK("https://leetcode.com/problems/lru-cache/","LRU Cache (146)")</f>
      </c>
      <c r="C119" s="3" t="inlineStr">
        <is>
          <t xml:space="preserve">Medium</t>
        </is>
      </c>
      <c r="D119" s="3" t="inlineStr">
        <is>
          <t xml:space="preserve">Linked lists</t>
        </is>
      </c>
      <c r="E119" s="3" t="inlineStr">
        <is>
          <t xml:space="preserve">Not started</t>
        </is>
      </c>
      <c r="L119" s="2">
        <f>IF(F119="","",F119+1)</f>
      </c>
      <c r="M119" s="2">
        <f>IF(F119="","",F119+3)</f>
      </c>
      <c r="N119" s="2">
        <f>IF(F119="","",F119+7)</f>
      </c>
      <c r="O119" s="2">
        <f>IF(F119="","",F119+14)</f>
      </c>
    </row>
    <row r="120">
      <c r="A120" s="3">
        <v>62</v>
      </c>
      <c r="B120" s="4">
        <f>HYPERLINK("https://leetcode.com/problems/sort-characters-by-frequency/","Sort Characters By Frequency (451)")</f>
      </c>
      <c r="C120" s="3" t="inlineStr">
        <is>
          <t xml:space="preserve">Medium</t>
        </is>
      </c>
      <c r="D120" s="3" t="inlineStr">
        <is>
          <t xml:space="preserve">Heaps</t>
        </is>
      </c>
      <c r="E120" s="3" t="inlineStr">
        <is>
          <t xml:space="preserve">Not started</t>
        </is>
      </c>
      <c r="L120" s="2">
        <f>IF(F120="","",F120+1)</f>
      </c>
      <c r="M120" s="2">
        <f>IF(F120="","",F120+3)</f>
      </c>
      <c r="N120" s="2">
        <f>IF(F120="","",F120+7)</f>
      </c>
      <c r="O120" s="2">
        <f>IF(F120="","",F120+14)</f>
      </c>
    </row>
    <row r="121">
      <c r="A121" s="3">
        <v>62</v>
      </c>
      <c r="B121" s="4">
        <f>HYPERLINK("https://leetcode.com/problems/top-k-frequent-words/","Top K Frequent Words (692)")</f>
      </c>
      <c r="C121" s="3" t="inlineStr">
        <is>
          <t xml:space="preserve">Medium</t>
        </is>
      </c>
      <c r="D121" s="3" t="inlineStr">
        <is>
          <t xml:space="preserve">Heaps</t>
        </is>
      </c>
      <c r="E121" s="3" t="inlineStr">
        <is>
          <t xml:space="preserve">Not started</t>
        </is>
      </c>
      <c r="L121" s="2">
        <f>IF(F121="","",F121+1)</f>
      </c>
      <c r="M121" s="2">
        <f>IF(F121="","",F121+3)</f>
      </c>
      <c r="N121" s="2">
        <f>IF(F121="","",F121+7)</f>
      </c>
      <c r="O121" s="2">
        <f>IF(F121="","",F121+14)</f>
      </c>
    </row>
    <row r="122">
      <c r="A122" s="3">
        <v>62</v>
      </c>
      <c r="B122" s="4">
        <f>HYPERLINK("https://leetcode.com/problems/reorganize-string/","Reorganize String (767)")</f>
      </c>
      <c r="C122" s="3" t="inlineStr">
        <is>
          <t xml:space="preserve">Medium</t>
        </is>
      </c>
      <c r="D122" s="3" t="inlineStr">
        <is>
          <t xml:space="preserve">Heaps</t>
        </is>
      </c>
      <c r="E122" s="3" t="inlineStr">
        <is>
          <t xml:space="preserve">Not started</t>
        </is>
      </c>
      <c r="L122" s="2">
        <f>IF(F122="","",F122+1)</f>
      </c>
      <c r="M122" s="2">
        <f>IF(F122="","",F122+3)</f>
      </c>
      <c r="N122" s="2">
        <f>IF(F122="","",F122+7)</f>
      </c>
      <c r="O122" s="2">
        <f>IF(F122="","",F122+14)</f>
      </c>
    </row>
    <row r="123">
      <c r="A123" s="3">
        <v>62</v>
      </c>
      <c r="B123" s="4">
        <f>HYPERLINK("PROBLEMS.md#x-heap-impl","Implement a binary min-heap (push, pop, heapify) on an array")</f>
      </c>
      <c r="C123" s="3" t="inlineStr">
        <is>
          <t xml:space="preserve">Custom</t>
        </is>
      </c>
      <c r="D123" s="3" t="inlineStr">
        <is>
          <t xml:space="preserve">Heaps</t>
        </is>
      </c>
      <c r="E123" s="3" t="inlineStr">
        <is>
          <t xml:space="preserve">Not started</t>
        </is>
      </c>
      <c r="L123" s="2">
        <f>IF(F123="","",F123+1)</f>
      </c>
      <c r="M123" s="2">
        <f>IF(F123="","",F123+3)</f>
      </c>
      <c r="N123" s="2">
        <f>IF(F123="","",F123+7)</f>
      </c>
      <c r="O123" s="2">
        <f>IF(F123="","",F123+14)</f>
      </c>
    </row>
    <row r="124">
      <c r="A124" s="3">
        <v>64</v>
      </c>
      <c r="B124" s="4">
        <f>HYPERLINK("https://leetcode.com/problems/number-of-islands/","Number of Islands (200)")</f>
      </c>
      <c r="C124" s="3" t="inlineStr">
        <is>
          <t xml:space="preserve">Medium</t>
        </is>
      </c>
      <c r="D124" s="3" t="inlineStr">
        <is>
          <t xml:space="preserve">Graphs</t>
        </is>
      </c>
      <c r="E124" s="3" t="inlineStr">
        <is>
          <t xml:space="preserve">Not started</t>
        </is>
      </c>
      <c r="L124" s="2">
        <f>IF(F124="","",F124+1)</f>
      </c>
      <c r="M124" s="2">
        <f>IF(F124="","",F124+3)</f>
      </c>
      <c r="N124" s="2">
        <f>IF(F124="","",F124+7)</f>
      </c>
      <c r="O124" s="2">
        <f>IF(F124="","",F124+14)</f>
      </c>
    </row>
    <row r="125">
      <c r="A125" s="3">
        <v>64</v>
      </c>
      <c r="B125" s="4">
        <f>HYPERLINK("https://leetcode.com/problems/flood-fill/","Flood Fill (733)")</f>
      </c>
      <c r="C125" s="3" t="inlineStr">
        <is>
          <t xml:space="preserve">Easy</t>
        </is>
      </c>
      <c r="D125" s="3" t="inlineStr">
        <is>
          <t xml:space="preserve">Graphs</t>
        </is>
      </c>
      <c r="E125" s="3" t="inlineStr">
        <is>
          <t xml:space="preserve">Not started</t>
        </is>
      </c>
      <c r="L125" s="2">
        <f>IF(F125="","",F125+1)</f>
      </c>
      <c r="M125" s="2">
        <f>IF(F125="","",F125+3)</f>
      </c>
      <c r="N125" s="2">
        <f>IF(F125="","",F125+7)</f>
      </c>
      <c r="O125" s="2">
        <f>IF(F125="","",F125+14)</f>
      </c>
    </row>
    <row r="126">
      <c r="A126" s="3">
        <v>65</v>
      </c>
      <c r="B126" s="4">
        <f>HYPERLINK("https://leetcode.com/problems/clone-graph/","Clone Graph (133)")</f>
      </c>
      <c r="C126" s="3" t="inlineStr">
        <is>
          <t xml:space="preserve">Medium</t>
        </is>
      </c>
      <c r="D126" s="3" t="inlineStr">
        <is>
          <t xml:space="preserve">Graphs</t>
        </is>
      </c>
      <c r="E126" s="3" t="inlineStr">
        <is>
          <t xml:space="preserve">Not started</t>
        </is>
      </c>
      <c r="L126" s="2">
        <f>IF(F126="","",F126+1)</f>
      </c>
      <c r="M126" s="2">
        <f>IF(F126="","",F126+3)</f>
      </c>
      <c r="N126" s="2">
        <f>IF(F126="","",F126+7)</f>
      </c>
      <c r="O126" s="2">
        <f>IF(F126="","",F126+14)</f>
      </c>
    </row>
    <row r="127">
      <c r="A127" s="3">
        <v>65</v>
      </c>
      <c r="B127" s="4">
        <f>HYPERLINK("https://leetcode.com/problems/max-area-of-island/","Max Area of Island (695)")</f>
      </c>
      <c r="C127" s="3" t="inlineStr">
        <is>
          <t xml:space="preserve">Medium</t>
        </is>
      </c>
      <c r="D127" s="3" t="inlineStr">
        <is>
          <t xml:space="preserve">Graphs</t>
        </is>
      </c>
      <c r="E127" s="3" t="inlineStr">
        <is>
          <t xml:space="preserve">Not started</t>
        </is>
      </c>
      <c r="L127" s="2">
        <f>IF(F127="","",F127+1)</f>
      </c>
      <c r="M127" s="2">
        <f>IF(F127="","",F127+3)</f>
      </c>
      <c r="N127" s="2">
        <f>IF(F127="","",F127+7)</f>
      </c>
      <c r="O127" s="2">
        <f>IF(F127="","",F127+14)</f>
      </c>
    </row>
    <row r="128">
      <c r="A128" s="3">
        <v>66</v>
      </c>
      <c r="B128" s="4">
        <f>HYPERLINK("https://leetcode.com/problems/01-matrix/","01 Matrix (542)")</f>
      </c>
      <c r="C128" s="3" t="inlineStr">
        <is>
          <t xml:space="preserve">Medium</t>
        </is>
      </c>
      <c r="D128" s="3" t="inlineStr">
        <is>
          <t xml:space="preserve">Graphs</t>
        </is>
      </c>
      <c r="E128" s="3" t="inlineStr">
        <is>
          <t xml:space="preserve">Not started</t>
        </is>
      </c>
      <c r="L128" s="2">
        <f>IF(F128="","",F128+1)</f>
      </c>
      <c r="M128" s="2">
        <f>IF(F128="","",F128+3)</f>
      </c>
      <c r="N128" s="2">
        <f>IF(F128="","",F128+7)</f>
      </c>
      <c r="O128" s="2">
        <f>IF(F128="","",F128+14)</f>
      </c>
    </row>
    <row r="129">
      <c r="A129" s="3">
        <v>66</v>
      </c>
      <c r="B129" s="4">
        <f>HYPERLINK("https://leetcode.com/problems/rotting-oranges/","Rotting Oranges (994)")</f>
      </c>
      <c r="C129" s="3" t="inlineStr">
        <is>
          <t xml:space="preserve">Medium</t>
        </is>
      </c>
      <c r="D129" s="3" t="inlineStr">
        <is>
          <t xml:space="preserve">Graphs</t>
        </is>
      </c>
      <c r="E129" s="3" t="inlineStr">
        <is>
          <t xml:space="preserve">Not started</t>
        </is>
      </c>
      <c r="L129" s="2">
        <f>IF(F129="","",F129+1)</f>
      </c>
      <c r="M129" s="2">
        <f>IF(F129="","",F129+3)</f>
      </c>
      <c r="N129" s="2">
        <f>IF(F129="","",F129+7)</f>
      </c>
      <c r="O129" s="2">
        <f>IF(F129="","",F129+14)</f>
      </c>
    </row>
    <row r="130">
      <c r="A130" s="3">
        <v>67</v>
      </c>
      <c r="B130" s="4">
        <f>HYPERLINK("https://leetcode.com/problems/surrounded-regions/","Surrounded Regions (130)")</f>
      </c>
      <c r="C130" s="3" t="inlineStr">
        <is>
          <t xml:space="preserve">Medium</t>
        </is>
      </c>
      <c r="D130" s="3" t="inlineStr">
        <is>
          <t xml:space="preserve">Graphs</t>
        </is>
      </c>
      <c r="E130" s="3" t="inlineStr">
        <is>
          <t xml:space="preserve">Not started</t>
        </is>
      </c>
      <c r="L130" s="2">
        <f>IF(F130="","",F130+1)</f>
      </c>
      <c r="M130" s="2">
        <f>IF(F130="","",F130+3)</f>
      </c>
      <c r="N130" s="2">
        <f>IF(F130="","",F130+7)</f>
      </c>
      <c r="O130" s="2">
        <f>IF(F130="","",F130+14)</f>
      </c>
    </row>
    <row r="131">
      <c r="A131" s="3">
        <v>67</v>
      </c>
      <c r="B131" s="4">
        <f>HYPERLINK("https://leetcode.com/problems/pacific-atlantic-water-flow/","Pacific Atlantic Water Flow (417)")</f>
      </c>
      <c r="C131" s="3" t="inlineStr">
        <is>
          <t xml:space="preserve">Medium</t>
        </is>
      </c>
      <c r="D131" s="3" t="inlineStr">
        <is>
          <t xml:space="preserve">Graphs</t>
        </is>
      </c>
      <c r="E131" s="3" t="inlineStr">
        <is>
          <t xml:space="preserve">Not started</t>
        </is>
      </c>
      <c r="L131" s="2">
        <f>IF(F131="","",F131+1)</f>
      </c>
      <c r="M131" s="2">
        <f>IF(F131="","",F131+3)</f>
      </c>
      <c r="N131" s="2">
        <f>IF(F131="","",F131+7)</f>
      </c>
      <c r="O131" s="2">
        <f>IF(F131="","",F131+14)</f>
      </c>
    </row>
    <row r="132">
      <c r="A132" s="3">
        <v>68</v>
      </c>
      <c r="B132" s="4">
        <f>HYPERLINK("https://leetcode.com/problems/find-if-path-exists-in-graph/","Find if Path Exists in Graph (1971)")</f>
      </c>
      <c r="C132" s="3" t="inlineStr">
        <is>
          <t xml:space="preserve">Easy</t>
        </is>
      </c>
      <c r="D132" s="3" t="inlineStr">
        <is>
          <t xml:space="preserve">Graphs</t>
        </is>
      </c>
      <c r="E132" s="3" t="inlineStr">
        <is>
          <t xml:space="preserve">Not started</t>
        </is>
      </c>
      <c r="L132" s="2">
        <f>IF(F132="","",F132+1)</f>
      </c>
      <c r="M132" s="2">
        <f>IF(F132="","",F132+3)</f>
      </c>
      <c r="N132" s="2">
        <f>IF(F132="","",F132+7)</f>
      </c>
      <c r="O132" s="2">
        <f>IF(F132="","",F132+14)</f>
      </c>
    </row>
    <row r="133">
      <c r="A133" s="3">
        <v>68</v>
      </c>
      <c r="B133" s="4">
        <f>HYPERLINK("PROBLEMS.md#x-undirected-cycle","Detect a cycle in an undirected graph (DFS parent / DSU)")</f>
      </c>
      <c r="C133" s="3" t="inlineStr">
        <is>
          <t xml:space="preserve">Custom</t>
        </is>
      </c>
      <c r="D133" s="3" t="inlineStr">
        <is>
          <t xml:space="preserve">Graphs</t>
        </is>
      </c>
      <c r="E133" s="3" t="inlineStr">
        <is>
          <t xml:space="preserve">Not started</t>
        </is>
      </c>
      <c r="L133" s="2">
        <f>IF(F133="","",F133+1)</f>
      </c>
      <c r="M133" s="2">
        <f>IF(F133="","",F133+3)</f>
      </c>
      <c r="N133" s="2">
        <f>IF(F133="","",F133+7)</f>
      </c>
      <c r="O133" s="2">
        <f>IF(F133="","",F133+14)</f>
      </c>
    </row>
    <row r="134">
      <c r="A134" s="3">
        <v>69</v>
      </c>
      <c r="B134" s="4">
        <f>HYPERLINK("https://leetcode.com/problems/word-ladder/","Word Ladder (127)")</f>
      </c>
      <c r="C134" s="3" t="inlineStr">
        <is>
          <t xml:space="preserve">Hard</t>
        </is>
      </c>
      <c r="D134" s="3" t="inlineStr">
        <is>
          <t xml:space="preserve">Graphs</t>
        </is>
      </c>
      <c r="E134" s="3" t="inlineStr">
        <is>
          <t xml:space="preserve">Not started</t>
        </is>
      </c>
      <c r="L134" s="2">
        <f>IF(F134="","",F134+1)</f>
      </c>
      <c r="M134" s="2">
        <f>IF(F134="","",F134+3)</f>
      </c>
      <c r="N134" s="2">
        <f>IF(F134="","",F134+7)</f>
      </c>
      <c r="O134" s="2">
        <f>IF(F134="","",F134+14)</f>
      </c>
    </row>
    <row r="135">
      <c r="A135" s="3">
        <v>69</v>
      </c>
      <c r="B135" s="4">
        <f>HYPERLINK("https://leetcode.com/problems/walls-and-gates/","Walls and Gates (286)")</f>
      </c>
      <c r="C135" s="3" t="inlineStr">
        <is>
          <t xml:space="preserve">Medium</t>
        </is>
      </c>
      <c r="D135" s="3" t="inlineStr">
        <is>
          <t xml:space="preserve">Graphs</t>
        </is>
      </c>
      <c r="E135" s="3" t="inlineStr">
        <is>
          <t xml:space="preserve">Not started</t>
        </is>
      </c>
      <c r="L135" s="2">
        <f>IF(F135="","",F135+1)</f>
      </c>
      <c r="M135" s="2">
        <f>IF(F135="","",F135+3)</f>
      </c>
      <c r="N135" s="2">
        <f>IF(F135="","",F135+7)</f>
      </c>
      <c r="O135" s="2">
        <f>IF(F135="","",F135+14)</f>
      </c>
    </row>
    <row r="136">
      <c r="A136" s="3">
        <v>69</v>
      </c>
      <c r="B136" s="4">
        <f>HYPERLINK("https://leetcode.com/problems/is-graph-bipartite/","Is Graph Bipartite? (785)")</f>
      </c>
      <c r="C136" s="3" t="inlineStr">
        <is>
          <t xml:space="preserve">Medium</t>
        </is>
      </c>
      <c r="D136" s="3" t="inlineStr">
        <is>
          <t xml:space="preserve">Graphs</t>
        </is>
      </c>
      <c r="E136" s="3" t="inlineStr">
        <is>
          <t xml:space="preserve">Not started</t>
        </is>
      </c>
      <c r="L136" s="2">
        <f>IF(F136="","",F136+1)</f>
      </c>
      <c r="M136" s="2">
        <f>IF(F136="","",F136+3)</f>
      </c>
      <c r="N136" s="2">
        <f>IF(F136="","",F136+7)</f>
      </c>
      <c r="O136" s="2">
        <f>IF(F136="","",F136+14)</f>
      </c>
    </row>
    <row r="137">
      <c r="A137" s="3">
        <v>69</v>
      </c>
      <c r="B137" s="4">
        <f>HYPERLINK("https://leetcode.com/problems/keys-and-rooms/","Keys and Rooms (841)")</f>
      </c>
      <c r="C137" s="3" t="inlineStr">
        <is>
          <t xml:space="preserve">Medium</t>
        </is>
      </c>
      <c r="D137" s="3" t="inlineStr">
        <is>
          <t xml:space="preserve">Graphs</t>
        </is>
      </c>
      <c r="E137" s="3" t="inlineStr">
        <is>
          <t xml:space="preserve">Not started</t>
        </is>
      </c>
      <c r="L137" s="2">
        <f>IF(F137="","",F137+1)</f>
      </c>
      <c r="M137" s="2">
        <f>IF(F137="","",F137+3)</f>
      </c>
      <c r="N137" s="2">
        <f>IF(F137="","",F137+7)</f>
      </c>
      <c r="O137" s="2">
        <f>IF(F137="","",F137+14)</f>
      </c>
    </row>
    <row r="138">
      <c r="A138" s="3">
        <v>71</v>
      </c>
      <c r="B138" s="4">
        <f>HYPERLINK("https://leetcode.com/problems/course-schedule/","Course Schedule (207)")</f>
      </c>
      <c r="C138" s="3" t="inlineStr">
        <is>
          <t xml:space="preserve">Medium</t>
        </is>
      </c>
      <c r="D138" s="3" t="inlineStr">
        <is>
          <t xml:space="preserve">Topological sort</t>
        </is>
      </c>
      <c r="E138" s="3" t="inlineStr">
        <is>
          <t xml:space="preserve">Not started</t>
        </is>
      </c>
      <c r="L138" s="2">
        <f>IF(F138="","",F138+1)</f>
      </c>
      <c r="M138" s="2">
        <f>IF(F138="","",F138+3)</f>
      </c>
      <c r="N138" s="2">
        <f>IF(F138="","",F138+7)</f>
      </c>
      <c r="O138" s="2">
        <f>IF(F138="","",F138+14)</f>
      </c>
    </row>
    <row r="139">
      <c r="A139" s="3">
        <v>72</v>
      </c>
      <c r="B139" s="4">
        <f>HYPERLINK("https://leetcode.com/problems/course-schedule-ii/","Course Schedule II (210)")</f>
      </c>
      <c r="C139" s="3" t="inlineStr">
        <is>
          <t xml:space="preserve">Medium</t>
        </is>
      </c>
      <c r="D139" s="3" t="inlineStr">
        <is>
          <t xml:space="preserve">Topological sort</t>
        </is>
      </c>
      <c r="E139" s="3" t="inlineStr">
        <is>
          <t xml:space="preserve">Not started</t>
        </is>
      </c>
      <c r="L139" s="2">
        <f>IF(F139="","",F139+1)</f>
      </c>
      <c r="M139" s="2">
        <f>IF(F139="","",F139+3)</f>
      </c>
      <c r="N139" s="2">
        <f>IF(F139="","",F139+7)</f>
      </c>
      <c r="O139" s="2">
        <f>IF(F139="","",F139+14)</f>
      </c>
    </row>
    <row r="140">
      <c r="A140" s="3">
        <v>73</v>
      </c>
      <c r="B140" s="4">
        <f>HYPERLINK("https://leetcode.com/problems/number-of-provinces/","Number of Provinces (547)")</f>
      </c>
      <c r="C140" s="3" t="inlineStr">
        <is>
          <t xml:space="preserve">Medium</t>
        </is>
      </c>
      <c r="D140" s="3" t="inlineStr">
        <is>
          <t xml:space="preserve">Union-Find</t>
        </is>
      </c>
      <c r="E140" s="3" t="inlineStr">
        <is>
          <t xml:space="preserve">Not started</t>
        </is>
      </c>
      <c r="L140" s="2">
        <f>IF(F140="","",F140+1)</f>
      </c>
      <c r="M140" s="2">
        <f>IF(F140="","",F140+3)</f>
      </c>
      <c r="N140" s="2">
        <f>IF(F140="","",F140+7)</f>
      </c>
      <c r="O140" s="2">
        <f>IF(F140="","",F140+14)</f>
      </c>
    </row>
    <row r="141">
      <c r="A141" s="3">
        <v>73</v>
      </c>
      <c r="B141" s="4">
        <f>HYPERLINK("https://leetcode.com/problems/redundant-connection/","Redundant Connection (684)")</f>
      </c>
      <c r="C141" s="3" t="inlineStr">
        <is>
          <t xml:space="preserve">Medium</t>
        </is>
      </c>
      <c r="D141" s="3" t="inlineStr">
        <is>
          <t xml:space="preserve">Union-Find</t>
        </is>
      </c>
      <c r="E141" s="3" t="inlineStr">
        <is>
          <t xml:space="preserve">Not started</t>
        </is>
      </c>
      <c r="L141" s="2">
        <f>IF(F141="","",F141+1)</f>
      </c>
      <c r="M141" s="2">
        <f>IF(F141="","",F141+3)</f>
      </c>
      <c r="N141" s="2">
        <f>IF(F141="","",F141+7)</f>
      </c>
      <c r="O141" s="2">
        <f>IF(F141="","",F141+14)</f>
      </c>
    </row>
    <row r="142">
      <c r="A142" s="3">
        <v>73</v>
      </c>
      <c r="B142" s="4">
        <f>HYPERLINK("PROBLEMS.md#x-dsu-impl","Implement DSU: find with path compression, union by rank/size")</f>
      </c>
      <c r="C142" s="3" t="inlineStr">
        <is>
          <t xml:space="preserve">Custom</t>
        </is>
      </c>
      <c r="D142" s="3" t="inlineStr">
        <is>
          <t xml:space="preserve">Union-Find</t>
        </is>
      </c>
      <c r="E142" s="3" t="inlineStr">
        <is>
          <t xml:space="preserve">Not started</t>
        </is>
      </c>
      <c r="L142" s="2">
        <f>IF(F142="","",F142+1)</f>
      </c>
      <c r="M142" s="2">
        <f>IF(F142="","",F142+3)</f>
      </c>
      <c r="N142" s="2">
        <f>IF(F142="","",F142+7)</f>
      </c>
      <c r="O142" s="2">
        <f>IF(F142="","",F142+14)</f>
      </c>
    </row>
    <row r="143">
      <c r="A143" s="3">
        <v>74</v>
      </c>
      <c r="B143" s="4">
        <f>HYPERLINK("https://leetcode.com/problems/accounts-merge/","Accounts Merge (721)")</f>
      </c>
      <c r="C143" s="3" t="inlineStr">
        <is>
          <t xml:space="preserve">Medium</t>
        </is>
      </c>
      <c r="D143" s="3" t="inlineStr">
        <is>
          <t xml:space="preserve">Union-Find</t>
        </is>
      </c>
      <c r="E143" s="3" t="inlineStr">
        <is>
          <t xml:space="preserve">Not started</t>
        </is>
      </c>
      <c r="L143" s="2">
        <f>IF(F143="","",F143+1)</f>
      </c>
      <c r="M143" s="2">
        <f>IF(F143="","",F143+3)</f>
      </c>
      <c r="N143" s="2">
        <f>IF(F143="","",F143+7)</f>
      </c>
      <c r="O143" s="2">
        <f>IF(F143="","",F143+14)</f>
      </c>
    </row>
    <row r="144">
      <c r="A144" s="3">
        <v>75</v>
      </c>
      <c r="B144" s="4">
        <f>HYPERLINK("https://leetcode.com/problems/find-eventual-safe-states/","Find Eventual Safe States (802)")</f>
      </c>
      <c r="C144" s="3" t="inlineStr">
        <is>
          <t xml:space="preserve">Medium</t>
        </is>
      </c>
      <c r="D144" s="3" t="inlineStr">
        <is>
          <t xml:space="preserve">Topological sort</t>
        </is>
      </c>
      <c r="E144" s="3" t="inlineStr">
        <is>
          <t xml:space="preserve">Not started</t>
        </is>
      </c>
      <c r="L144" s="2">
        <f>IF(F144="","",F144+1)</f>
      </c>
      <c r="M144" s="2">
        <f>IF(F144="","",F144+3)</f>
      </c>
      <c r="N144" s="2">
        <f>IF(F144="","",F144+7)</f>
      </c>
      <c r="O144" s="2">
        <f>IF(F144="","",F144+14)</f>
      </c>
    </row>
    <row r="145">
      <c r="A145" s="3">
        <v>76</v>
      </c>
      <c r="B145" s="4">
        <f>HYPERLINK("https://leetcode.com/problems/graph-valid-tree/","Graph Valid Tree (261)")</f>
      </c>
      <c r="C145" s="3" t="inlineStr">
        <is>
          <t xml:space="preserve">Medium</t>
        </is>
      </c>
      <c r="D145" s="3" t="inlineStr">
        <is>
          <t xml:space="preserve">Union-Find</t>
        </is>
      </c>
      <c r="E145" s="3" t="inlineStr">
        <is>
          <t xml:space="preserve">Not started</t>
        </is>
      </c>
      <c r="L145" s="2">
        <f>IF(F145="","",F145+1)</f>
      </c>
      <c r="M145" s="2">
        <f>IF(F145="","",F145+3)</f>
      </c>
      <c r="N145" s="2">
        <f>IF(F145="","",F145+7)</f>
      </c>
      <c r="O145" s="2">
        <f>IF(F145="","",F145+14)</f>
      </c>
    </row>
    <row r="146">
      <c r="A146" s="3">
        <v>76</v>
      </c>
      <c r="B146" s="4">
        <f>HYPERLINK("https://leetcode.com/problems/alien-dictionary/","Alien Dictionary (269)")</f>
      </c>
      <c r="C146" s="3" t="inlineStr">
        <is>
          <t xml:space="preserve">Hard</t>
        </is>
      </c>
      <c r="D146" s="3" t="inlineStr">
        <is>
          <t xml:space="preserve">Topological sort</t>
        </is>
      </c>
      <c r="E146" s="3" t="inlineStr">
        <is>
          <t xml:space="preserve">Not started</t>
        </is>
      </c>
      <c r="L146" s="2">
        <f>IF(F146="","",F146+1)</f>
      </c>
      <c r="M146" s="2">
        <f>IF(F146="","",F146+3)</f>
      </c>
      <c r="N146" s="2">
        <f>IF(F146="","",F146+7)</f>
      </c>
      <c r="O146" s="2">
        <f>IF(F146="","",F146+14)</f>
      </c>
    </row>
    <row r="147">
      <c r="A147" s="3">
        <v>76</v>
      </c>
      <c r="B147" s="4">
        <f>HYPERLINK("https://leetcode.com/problems/minimum-height-trees/","Minimum Height Trees (310)")</f>
      </c>
      <c r="C147" s="3" t="inlineStr">
        <is>
          <t xml:space="preserve">Medium</t>
        </is>
      </c>
      <c r="D147" s="3" t="inlineStr">
        <is>
          <t xml:space="preserve">Topological sort</t>
        </is>
      </c>
      <c r="E147" s="3" t="inlineStr">
        <is>
          <t xml:space="preserve">Not started</t>
        </is>
      </c>
      <c r="L147" s="2">
        <f>IF(F147="","",F147+1)</f>
      </c>
      <c r="M147" s="2">
        <f>IF(F147="","",F147+3)</f>
      </c>
      <c r="N147" s="2">
        <f>IF(F147="","",F147+7)</f>
      </c>
      <c r="O147" s="2">
        <f>IF(F147="","",F147+14)</f>
      </c>
    </row>
    <row r="148">
      <c r="A148" s="3">
        <v>76</v>
      </c>
      <c r="B148" s="4">
        <f>HYPERLINK("https://leetcode.com/problems/number-of-connected-components-in-an-undirected-graph/","Number of Connected Components in an Undirected Graph (323)")</f>
      </c>
      <c r="C148" s="3" t="inlineStr">
        <is>
          <t xml:space="preserve">Medium</t>
        </is>
      </c>
      <c r="D148" s="3" t="inlineStr">
        <is>
          <t xml:space="preserve">Union-Find</t>
        </is>
      </c>
      <c r="E148" s="3" t="inlineStr">
        <is>
          <t xml:space="preserve">Not started</t>
        </is>
      </c>
      <c r="L148" s="2">
        <f>IF(F148="","",F148+1)</f>
      </c>
      <c r="M148" s="2">
        <f>IF(F148="","",F148+3)</f>
      </c>
      <c r="N148" s="2">
        <f>IF(F148="","",F148+7)</f>
      </c>
      <c r="O148" s="2">
        <f>IF(F148="","",F148+14)</f>
      </c>
    </row>
    <row r="149">
      <c r="A149" s="3">
        <v>78</v>
      </c>
      <c r="B149" s="4">
        <f>HYPERLINK("https://leetcode.com/problems/network-delay-time/","Network Delay Time (743)")</f>
      </c>
      <c r="C149" s="3" t="inlineStr">
        <is>
          <t xml:space="preserve">Medium</t>
        </is>
      </c>
      <c r="D149" s="3" t="inlineStr">
        <is>
          <t xml:space="preserve">Shortest paths</t>
        </is>
      </c>
      <c r="E149" s="3" t="inlineStr">
        <is>
          <t xml:space="preserve">Not started</t>
        </is>
      </c>
      <c r="L149" s="2">
        <f>IF(F149="","",F149+1)</f>
      </c>
      <c r="M149" s="2">
        <f>IF(F149="","",F149+3)</f>
      </c>
      <c r="N149" s="2">
        <f>IF(F149="","",F149+7)</f>
      </c>
      <c r="O149" s="2">
        <f>IF(F149="","",F149+14)</f>
      </c>
    </row>
    <row r="150">
      <c r="A150" s="3">
        <v>79</v>
      </c>
      <c r="B150" s="4">
        <f>HYPERLINK("https://leetcode.com/problems/merge-intervals/","Merge Intervals (56)")</f>
      </c>
      <c r="C150" s="3" t="inlineStr">
        <is>
          <t xml:space="preserve">Medium</t>
        </is>
      </c>
      <c r="D150" s="3" t="inlineStr">
        <is>
          <t xml:space="preserve">Intervals</t>
        </is>
      </c>
      <c r="E150" s="3" t="inlineStr">
        <is>
          <t xml:space="preserve">Not started</t>
        </is>
      </c>
      <c r="L150" s="2">
        <f>IF(F150="","",F150+1)</f>
      </c>
      <c r="M150" s="2">
        <f>IF(F150="","",F150+3)</f>
      </c>
      <c r="N150" s="2">
        <f>IF(F150="","",F150+7)</f>
      </c>
      <c r="O150" s="2">
        <f>IF(F150="","",F150+14)</f>
      </c>
    </row>
    <row r="151">
      <c r="A151" s="3">
        <v>79</v>
      </c>
      <c r="B151" s="4">
        <f>HYPERLINK("https://leetcode.com/problems/insert-interval/","Insert Interval (57)")</f>
      </c>
      <c r="C151" s="3" t="inlineStr">
        <is>
          <t xml:space="preserve">Medium</t>
        </is>
      </c>
      <c r="D151" s="3" t="inlineStr">
        <is>
          <t xml:space="preserve">Intervals</t>
        </is>
      </c>
      <c r="E151" s="3" t="inlineStr">
        <is>
          <t xml:space="preserve">Not started</t>
        </is>
      </c>
      <c r="L151" s="2">
        <f>IF(F151="","",F151+1)</f>
      </c>
      <c r="M151" s="2">
        <f>IF(F151="","",F151+3)</f>
      </c>
      <c r="N151" s="2">
        <f>IF(F151="","",F151+7)</f>
      </c>
      <c r="O151" s="2">
        <f>IF(F151="","",F151+14)</f>
      </c>
    </row>
    <row r="152">
      <c r="A152" s="3">
        <v>80</v>
      </c>
      <c r="B152" s="4">
        <f>HYPERLINK("https://leetcode.com/problems/meeting-rooms-ii/","Meeting Rooms II (253)")</f>
      </c>
      <c r="C152" s="3" t="inlineStr">
        <is>
          <t xml:space="preserve">Medium</t>
        </is>
      </c>
      <c r="D152" s="3" t="inlineStr">
        <is>
          <t xml:space="preserve">Intervals</t>
        </is>
      </c>
      <c r="E152" s="3" t="inlineStr">
        <is>
          <t xml:space="preserve">Not started</t>
        </is>
      </c>
      <c r="L152" s="2">
        <f>IF(F152="","",F152+1)</f>
      </c>
      <c r="M152" s="2">
        <f>IF(F152="","",F152+3)</f>
      </c>
      <c r="N152" s="2">
        <f>IF(F152="","",F152+7)</f>
      </c>
      <c r="O152" s="2">
        <f>IF(F152="","",F152+14)</f>
      </c>
    </row>
    <row r="153">
      <c r="A153" s="3">
        <v>80</v>
      </c>
      <c r="B153" s="4">
        <f>HYPERLINK("https://leetcode.com/problems/non-overlapping-intervals/","Non-overlapping Intervals (435)")</f>
      </c>
      <c r="C153" s="3" t="inlineStr">
        <is>
          <t xml:space="preserve">Medium</t>
        </is>
      </c>
      <c r="D153" s="3" t="inlineStr">
        <is>
          <t xml:space="preserve">Intervals</t>
        </is>
      </c>
      <c r="E153" s="3" t="inlineStr">
        <is>
          <t xml:space="preserve">Not started</t>
        </is>
      </c>
      <c r="L153" s="2">
        <f>IF(F153="","",F153+1)</f>
      </c>
      <c r="M153" s="2">
        <f>IF(F153="","",F153+3)</f>
      </c>
      <c r="N153" s="2">
        <f>IF(F153="","",F153+7)</f>
      </c>
      <c r="O153" s="2">
        <f>IF(F153="","",F153+14)</f>
      </c>
    </row>
    <row r="154">
      <c r="A154" s="3">
        <v>80</v>
      </c>
      <c r="B154" s="4">
        <f>HYPERLINK("https://leetcode.com/problems/minimum-number-of-arrows-to-burst-balloons/","Minimum Number of Arrows to Burst Balloons (452)")</f>
      </c>
      <c r="C154" s="3" t="inlineStr">
        <is>
          <t xml:space="preserve">Medium</t>
        </is>
      </c>
      <c r="D154" s="3" t="inlineStr">
        <is>
          <t xml:space="preserve">Intervals</t>
        </is>
      </c>
      <c r="E154" s="3" t="inlineStr">
        <is>
          <t xml:space="preserve">Not started</t>
        </is>
      </c>
      <c r="L154" s="2">
        <f>IF(F154="","",F154+1)</f>
      </c>
      <c r="M154" s="2">
        <f>IF(F154="","",F154+3)</f>
      </c>
      <c r="N154" s="2">
        <f>IF(F154="","",F154+7)</f>
      </c>
      <c r="O154" s="2">
        <f>IF(F154="","",F154+14)</f>
      </c>
    </row>
    <row r="155">
      <c r="A155" s="3">
        <v>81</v>
      </c>
      <c r="B155" s="4">
        <f>HYPERLINK("https://leetcode.com/problems/gas-station/","Gas Station (134)")</f>
      </c>
      <c r="C155" s="3" t="inlineStr">
        <is>
          <t xml:space="preserve">Medium</t>
        </is>
      </c>
      <c r="D155" s="3" t="inlineStr">
        <is>
          <t xml:space="preserve">Greedy</t>
        </is>
      </c>
      <c r="E155" s="3" t="inlineStr">
        <is>
          <t xml:space="preserve">Not started</t>
        </is>
      </c>
      <c r="L155" s="2">
        <f>IF(F155="","",F155+1)</f>
      </c>
      <c r="M155" s="2">
        <f>IF(F155="","",F155+3)</f>
      </c>
      <c r="N155" s="2">
        <f>IF(F155="","",F155+7)</f>
      </c>
      <c r="O155" s="2">
        <f>IF(F155="","",F155+14)</f>
      </c>
    </row>
    <row r="156">
      <c r="A156" s="3">
        <v>81</v>
      </c>
      <c r="B156" s="4">
        <f>HYPERLINK("https://leetcode.com/problems/jump-game/","Jump Game (55)")</f>
      </c>
      <c r="C156" s="3" t="inlineStr">
        <is>
          <t xml:space="preserve">Medium</t>
        </is>
      </c>
      <c r="D156" s="3" t="inlineStr">
        <is>
          <t xml:space="preserve">Greedy</t>
        </is>
      </c>
      <c r="E156" s="3" t="inlineStr">
        <is>
          <t xml:space="preserve">Not started</t>
        </is>
      </c>
      <c r="L156" s="2">
        <f>IF(F156="","",F156+1)</f>
      </c>
      <c r="M156" s="2">
        <f>IF(F156="","",F156+3)</f>
      </c>
      <c r="N156" s="2">
        <f>IF(F156="","",F156+7)</f>
      </c>
      <c r="O156" s="2">
        <f>IF(F156="","",F156+14)</f>
      </c>
    </row>
    <row r="157">
      <c r="A157" s="3">
        <v>82</v>
      </c>
      <c r="B157" s="4">
        <f>HYPERLINK("https://leetcode.com/problems/path-with-minimum-effort/","Path With Minimum Effort (1631)")</f>
      </c>
      <c r="C157" s="3" t="inlineStr">
        <is>
          <t xml:space="preserve">Medium</t>
        </is>
      </c>
      <c r="D157" s="3" t="inlineStr">
        <is>
          <t xml:space="preserve">Shortest paths</t>
        </is>
      </c>
      <c r="E157" s="3" t="inlineStr">
        <is>
          <t xml:space="preserve">Not started</t>
        </is>
      </c>
      <c r="L157" s="2">
        <f>IF(F157="","",F157+1)</f>
      </c>
      <c r="M157" s="2">
        <f>IF(F157="","",F157+3)</f>
      </c>
      <c r="N157" s="2">
        <f>IF(F157="","",F157+7)</f>
      </c>
      <c r="O157" s="2">
        <f>IF(F157="","",F157+14)</f>
      </c>
    </row>
    <row r="158">
      <c r="A158" s="3">
        <v>82</v>
      </c>
      <c r="B158" s="4">
        <f>HYPERLINK("https://leetcode.com/problems/meeting-rooms/","Meeting Rooms (252)")</f>
      </c>
      <c r="C158" s="3" t="inlineStr">
        <is>
          <t xml:space="preserve">Easy</t>
        </is>
      </c>
      <c r="D158" s="3" t="inlineStr">
        <is>
          <t xml:space="preserve">Intervals</t>
        </is>
      </c>
      <c r="E158" s="3" t="inlineStr">
        <is>
          <t xml:space="preserve">Not started</t>
        </is>
      </c>
      <c r="L158" s="2">
        <f>IF(F158="","",F158+1)</f>
      </c>
      <c r="M158" s="2">
        <f>IF(F158="","",F158+3)</f>
      </c>
      <c r="N158" s="2">
        <f>IF(F158="","",F158+7)</f>
      </c>
      <c r="O158" s="2">
        <f>IF(F158="","",F158+14)</f>
      </c>
    </row>
    <row r="159">
      <c r="A159" s="3">
        <v>82</v>
      </c>
      <c r="B159" s="4">
        <f>HYPERLINK("PROBLEMS.md#x-activity-selection","Activity selection (greedy by end time) with proof")</f>
      </c>
      <c r="C159" s="3" t="inlineStr">
        <is>
          <t xml:space="preserve">Custom</t>
        </is>
      </c>
      <c r="D159" s="3" t="inlineStr">
        <is>
          <t xml:space="preserve">Greedy</t>
        </is>
      </c>
      <c r="E159" s="3" t="inlineStr">
        <is>
          <t xml:space="preserve">Not started</t>
        </is>
      </c>
      <c r="L159" s="2">
        <f>IF(F159="","",F159+1)</f>
      </c>
      <c r="M159" s="2">
        <f>IF(F159="","",F159+3)</f>
      </c>
      <c r="N159" s="2">
        <f>IF(F159="","",F159+7)</f>
      </c>
      <c r="O159" s="2">
        <f>IF(F159="","",F159+14)</f>
      </c>
    </row>
    <row r="160">
      <c r="A160" s="3">
        <v>83</v>
      </c>
      <c r="B160" s="4">
        <f>HYPERLINK("https://leetcode.com/problems/min-cost-to-connect-all-points/","Min Cost to Connect All Points (1584)")</f>
      </c>
      <c r="C160" s="3" t="inlineStr">
        <is>
          <t xml:space="preserve">Medium</t>
        </is>
      </c>
      <c r="D160" s="3" t="inlineStr">
        <is>
          <t xml:space="preserve">MST</t>
        </is>
      </c>
      <c r="E160" s="3" t="inlineStr">
        <is>
          <t xml:space="preserve">Not started</t>
        </is>
      </c>
      <c r="L160" s="2">
        <f>IF(F160="","",F160+1)</f>
      </c>
      <c r="M160" s="2">
        <f>IF(F160="","",F160+3)</f>
      </c>
      <c r="N160" s="2">
        <f>IF(F160="","",F160+7)</f>
      </c>
      <c r="O160" s="2">
        <f>IF(F160="","",F160+14)</f>
      </c>
    </row>
    <row r="161">
      <c r="A161" s="3">
        <v>83</v>
      </c>
      <c r="B161" s="4">
        <f>HYPERLINK("https://leetcode.com/problems/jump-game-ii/","Jump Game II (45)")</f>
      </c>
      <c r="C161" s="3" t="inlineStr">
        <is>
          <t xml:space="preserve">Medium</t>
        </is>
      </c>
      <c r="D161" s="3" t="inlineStr">
        <is>
          <t xml:space="preserve">Greedy</t>
        </is>
      </c>
      <c r="E161" s="3" t="inlineStr">
        <is>
          <t xml:space="preserve">Not started</t>
        </is>
      </c>
      <c r="L161" s="2">
        <f>IF(F161="","",F161+1)</f>
      </c>
      <c r="M161" s="2">
        <f>IF(F161="","",F161+3)</f>
      </c>
      <c r="N161" s="2">
        <f>IF(F161="","",F161+7)</f>
      </c>
      <c r="O161" s="2">
        <f>IF(F161="","",F161+14)</f>
      </c>
    </row>
    <row r="162">
      <c r="A162" s="3">
        <v>83</v>
      </c>
      <c r="B162" s="4">
        <f>HYPERLINK("https://leetcode.com/problems/partition-labels/","Partition Labels (763)")</f>
      </c>
      <c r="C162" s="3" t="inlineStr">
        <is>
          <t xml:space="preserve">Medium</t>
        </is>
      </c>
      <c r="D162" s="3" t="inlineStr">
        <is>
          <t xml:space="preserve">Greedy</t>
        </is>
      </c>
      <c r="E162" s="3" t="inlineStr">
        <is>
          <t xml:space="preserve">Not started</t>
        </is>
      </c>
      <c r="L162" s="2">
        <f>IF(F162="","",F162+1)</f>
      </c>
      <c r="M162" s="2">
        <f>IF(F162="","",F162+3)</f>
      </c>
      <c r="N162" s="2">
        <f>IF(F162="","",F162+7)</f>
      </c>
      <c r="O162" s="2">
        <f>IF(F162="","",F162+14)</f>
      </c>
    </row>
    <row r="163">
      <c r="A163" s="3">
        <v>83</v>
      </c>
      <c r="B163" s="4">
        <f>HYPERLINK("https://leetcode.com/problems/cheapest-flights-within-k-stops/","Cheapest Flights Within K Stops (787)")</f>
      </c>
      <c r="C163" s="3" t="inlineStr">
        <is>
          <t xml:space="preserve">Medium</t>
        </is>
      </c>
      <c r="D163" s="3" t="inlineStr">
        <is>
          <t xml:space="preserve">Shortest paths</t>
        </is>
      </c>
      <c r="E163" s="3" t="inlineStr">
        <is>
          <t xml:space="preserve">Not started</t>
        </is>
      </c>
      <c r="L163" s="2">
        <f>IF(F163="","",F163+1)</f>
      </c>
      <c r="M163" s="2">
        <f>IF(F163="","",F163+3)</f>
      </c>
      <c r="N163" s="2">
        <f>IF(F163="","",F163+7)</f>
      </c>
      <c r="O163" s="2">
        <f>IF(F163="","",F163+14)</f>
      </c>
    </row>
    <row r="164">
      <c r="A164" s="3">
        <v>85</v>
      </c>
      <c r="B164" s="4">
        <f>HYPERLINK("https://leetcode.com/problems/climbing-stairs/","Climbing Stairs (70)")</f>
      </c>
      <c r="C164" s="3" t="inlineStr">
        <is>
          <t xml:space="preserve">Easy</t>
        </is>
      </c>
      <c r="D164" s="3" t="inlineStr">
        <is>
          <t xml:space="preserve">DP</t>
        </is>
      </c>
      <c r="E164" s="3" t="inlineStr">
        <is>
          <t xml:space="preserve">Not started</t>
        </is>
      </c>
      <c r="L164" s="2">
        <f>IF(F164="","",F164+1)</f>
      </c>
      <c r="M164" s="2">
        <f>IF(F164="","",F164+3)</f>
      </c>
      <c r="N164" s="2">
        <f>IF(F164="","",F164+7)</f>
      </c>
      <c r="O164" s="2">
        <f>IF(F164="","",F164+14)</f>
      </c>
    </row>
    <row r="165">
      <c r="A165" s="3">
        <v>85</v>
      </c>
      <c r="B165" s="4">
        <f>HYPERLINK("https://leetcode.com/problems/min-cost-climbing-stairs/","Min Cost Climbing Stairs (746)")</f>
      </c>
      <c r="C165" s="3" t="inlineStr">
        <is>
          <t xml:space="preserve">Easy</t>
        </is>
      </c>
      <c r="D165" s="3" t="inlineStr">
        <is>
          <t xml:space="preserve">DP</t>
        </is>
      </c>
      <c r="E165" s="3" t="inlineStr">
        <is>
          <t xml:space="preserve">Not started</t>
        </is>
      </c>
      <c r="L165" s="2">
        <f>IF(F165="","",F165+1)</f>
      </c>
      <c r="M165" s="2">
        <f>IF(F165="","",F165+3)</f>
      </c>
      <c r="N165" s="2">
        <f>IF(F165="","",F165+7)</f>
      </c>
      <c r="O165" s="2">
        <f>IF(F165="","",F165+14)</f>
      </c>
    </row>
    <row r="166">
      <c r="A166" s="3">
        <v>86</v>
      </c>
      <c r="B166" s="4">
        <f>HYPERLINK("https://leetcode.com/problems/n-th-tribonacci-number/","N-th Tribonacci Number (1137)")</f>
      </c>
      <c r="C166" s="3" t="inlineStr">
        <is>
          <t xml:space="preserve">Easy</t>
        </is>
      </c>
      <c r="D166" s="3" t="inlineStr">
        <is>
          <t xml:space="preserve">DP</t>
        </is>
      </c>
      <c r="E166" s="3" t="inlineStr">
        <is>
          <t xml:space="preserve">Not started</t>
        </is>
      </c>
      <c r="L166" s="2">
        <f>IF(F166="","",F166+1)</f>
      </c>
      <c r="M166" s="2">
        <f>IF(F166="","",F166+3)</f>
      </c>
      <c r="N166" s="2">
        <f>IF(F166="","",F166+7)</f>
      </c>
      <c r="O166" s="2">
        <f>IF(F166="","",F166+14)</f>
      </c>
    </row>
    <row r="167">
      <c r="A167" s="3">
        <v>86</v>
      </c>
      <c r="B167" s="4">
        <f>HYPERLINK("https://leetcode.com/problems/house-robber/","House Robber (198)")</f>
      </c>
      <c r="C167" s="3" t="inlineStr">
        <is>
          <t xml:space="preserve">Medium</t>
        </is>
      </c>
      <c r="D167" s="3" t="inlineStr">
        <is>
          <t xml:space="preserve">DP</t>
        </is>
      </c>
      <c r="E167" s="3" t="inlineStr">
        <is>
          <t xml:space="preserve">Not started</t>
        </is>
      </c>
      <c r="L167" s="2">
        <f>IF(F167="","",F167+1)</f>
      </c>
      <c r="M167" s="2">
        <f>IF(F167="","",F167+3)</f>
      </c>
      <c r="N167" s="2">
        <f>IF(F167="","",F167+7)</f>
      </c>
      <c r="O167" s="2">
        <f>IF(F167="","",F167+14)</f>
      </c>
    </row>
    <row r="168">
      <c r="A168" s="3">
        <v>86</v>
      </c>
      <c r="B168" s="4">
        <f>HYPERLINK("https://leetcode.com/problems/house-robber-ii/","House Robber II (213)")</f>
      </c>
      <c r="C168" s="3" t="inlineStr">
        <is>
          <t xml:space="preserve">Medium</t>
        </is>
      </c>
      <c r="D168" s="3" t="inlineStr">
        <is>
          <t xml:space="preserve">DP</t>
        </is>
      </c>
      <c r="E168" s="3" t="inlineStr">
        <is>
          <t xml:space="preserve">Not started</t>
        </is>
      </c>
      <c r="L168" s="2">
        <f>IF(F168="","",F168+1)</f>
      </c>
      <c r="M168" s="2">
        <f>IF(F168="","",F168+3)</f>
      </c>
      <c r="N168" s="2">
        <f>IF(F168="","",F168+7)</f>
      </c>
      <c r="O168" s="2">
        <f>IF(F168="","",F168+14)</f>
      </c>
    </row>
    <row r="169">
      <c r="A169" s="3">
        <v>87</v>
      </c>
      <c r="B169" s="4">
        <f>HYPERLINK("https://leetcode.com/problems/coin-change/","Coin Change (322)")</f>
      </c>
      <c r="C169" s="3" t="inlineStr">
        <is>
          <t xml:space="preserve">Medium</t>
        </is>
      </c>
      <c r="D169" s="3" t="inlineStr">
        <is>
          <t xml:space="preserve">DP</t>
        </is>
      </c>
      <c r="E169" s="3" t="inlineStr">
        <is>
          <t xml:space="preserve">Not started</t>
        </is>
      </c>
      <c r="L169" s="2">
        <f>IF(F169="","",F169+1)</f>
      </c>
      <c r="M169" s="2">
        <f>IF(F169="","",F169+3)</f>
      </c>
      <c r="N169" s="2">
        <f>IF(F169="","",F169+7)</f>
      </c>
      <c r="O169" s="2">
        <f>IF(F169="","",F169+14)</f>
      </c>
    </row>
    <row r="170">
      <c r="A170" s="3">
        <v>87</v>
      </c>
      <c r="B170" s="4">
        <f>HYPERLINK("https://leetcode.com/problems/decode-ways/","Decode Ways (91)")</f>
      </c>
      <c r="C170" s="3" t="inlineStr">
        <is>
          <t xml:space="preserve">Medium</t>
        </is>
      </c>
      <c r="D170" s="3" t="inlineStr">
        <is>
          <t xml:space="preserve">DP</t>
        </is>
      </c>
      <c r="E170" s="3" t="inlineStr">
        <is>
          <t xml:space="preserve">Not started</t>
        </is>
      </c>
      <c r="L170" s="2">
        <f>IF(F170="","",F170+1)</f>
      </c>
      <c r="M170" s="2">
        <f>IF(F170="","",F170+3)</f>
      </c>
      <c r="N170" s="2">
        <f>IF(F170="","",F170+7)</f>
      </c>
      <c r="O170" s="2">
        <f>IF(F170="","",F170+14)</f>
      </c>
    </row>
    <row r="171">
      <c r="A171" s="3">
        <v>88</v>
      </c>
      <c r="B171" s="4">
        <f>HYPERLINK("https://leetcode.com/problems/word-break/","Word Break (139)")</f>
      </c>
      <c r="C171" s="3" t="inlineStr">
        <is>
          <t xml:space="preserve">Medium</t>
        </is>
      </c>
      <c r="D171" s="3" t="inlineStr">
        <is>
          <t xml:space="preserve">DP</t>
        </is>
      </c>
      <c r="E171" s="3" t="inlineStr">
        <is>
          <t xml:space="preserve">Not started</t>
        </is>
      </c>
      <c r="L171" s="2">
        <f>IF(F171="","",F171+1)</f>
      </c>
      <c r="M171" s="2">
        <f>IF(F171="","",F171+3)</f>
      </c>
      <c r="N171" s="2">
        <f>IF(F171="","",F171+7)</f>
      </c>
      <c r="O171" s="2">
        <f>IF(F171="","",F171+14)</f>
      </c>
    </row>
    <row r="172">
      <c r="A172" s="3">
        <v>88</v>
      </c>
      <c r="B172" s="4">
        <f>HYPERLINK("https://leetcode.com/problems/longest-increasing-subsequence/","Longest Increasing Subsequence (300)")</f>
      </c>
      <c r="C172" s="3" t="inlineStr">
        <is>
          <t xml:space="preserve">Medium</t>
        </is>
      </c>
      <c r="D172" s="3" t="inlineStr">
        <is>
          <t xml:space="preserve">DP</t>
        </is>
      </c>
      <c r="E172" s="3" t="inlineStr">
        <is>
          <t xml:space="preserve">Not started</t>
        </is>
      </c>
      <c r="L172" s="2">
        <f>IF(F172="","",F172+1)</f>
      </c>
      <c r="M172" s="2">
        <f>IF(F172="","",F172+3)</f>
      </c>
      <c r="N172" s="2">
        <f>IF(F172="","",F172+7)</f>
      </c>
      <c r="O172" s="2">
        <f>IF(F172="","",F172+14)</f>
      </c>
    </row>
    <row r="173">
      <c r="A173" s="3">
        <v>89</v>
      </c>
      <c r="B173" s="4">
        <f>HYPERLINK("https://leetcode.com/problems/combination-sum-iv/","Combination Sum IV (377)")</f>
      </c>
      <c r="C173" s="3" t="inlineStr">
        <is>
          <t xml:space="preserve">Medium</t>
        </is>
      </c>
      <c r="D173" s="3" t="inlineStr">
        <is>
          <t xml:space="preserve">DP</t>
        </is>
      </c>
      <c r="E173" s="3" t="inlineStr">
        <is>
          <t xml:space="preserve">Not started</t>
        </is>
      </c>
      <c r="L173" s="2">
        <f>IF(F173="","",F173+1)</f>
      </c>
      <c r="M173" s="2">
        <f>IF(F173="","",F173+3)</f>
      </c>
      <c r="N173" s="2">
        <f>IF(F173="","",F173+7)</f>
      </c>
      <c r="O173" s="2">
        <f>IF(F173="","",F173+14)</f>
      </c>
    </row>
    <row r="174">
      <c r="A174" s="3">
        <v>90</v>
      </c>
      <c r="B174" s="4">
        <f>HYPERLINK("https://leetcode.com/problems/maximum-product-subarray/","Maximum Product Subarray (152)")</f>
      </c>
      <c r="C174" s="3" t="inlineStr">
        <is>
          <t xml:space="preserve">Medium</t>
        </is>
      </c>
      <c r="D174" s="3" t="inlineStr">
        <is>
          <t xml:space="preserve">DP</t>
        </is>
      </c>
      <c r="E174" s="3" t="inlineStr">
        <is>
          <t xml:space="preserve">Not started</t>
        </is>
      </c>
      <c r="L174" s="2">
        <f>IF(F174="","",F174+1)</f>
      </c>
      <c r="M174" s="2">
        <f>IF(F174="","",F174+3)</f>
      </c>
      <c r="N174" s="2">
        <f>IF(F174="","",F174+7)</f>
      </c>
      <c r="O174" s="2">
        <f>IF(F174="","",F174+14)</f>
      </c>
    </row>
    <row r="175">
      <c r="A175" s="3">
        <v>90</v>
      </c>
      <c r="B175" s="4">
        <f>HYPERLINK("https://leetcode.com/problems/longest-palindromic-substring/","Longest Palindromic Substring (5)")</f>
      </c>
      <c r="C175" s="3" t="inlineStr">
        <is>
          <t xml:space="preserve">Medium</t>
        </is>
      </c>
      <c r="D175" s="3" t="inlineStr">
        <is>
          <t xml:space="preserve">DP</t>
        </is>
      </c>
      <c r="E175" s="3" t="inlineStr">
        <is>
          <t xml:space="preserve">Not started</t>
        </is>
      </c>
      <c r="L175" s="2">
        <f>IF(F175="","",F175+1)</f>
      </c>
      <c r="M175" s="2">
        <f>IF(F175="","",F175+3)</f>
      </c>
      <c r="N175" s="2">
        <f>IF(F175="","",F175+7)</f>
      </c>
      <c r="O175" s="2">
        <f>IF(F175="","",F175+14)</f>
      </c>
    </row>
    <row r="176">
      <c r="A176" s="3">
        <v>90</v>
      </c>
      <c r="B176" s="4">
        <f>HYPERLINK("https://leetcode.com/problems/palindromic-substrings/","Palindromic Substrings (647)")</f>
      </c>
      <c r="C176" s="3" t="inlineStr">
        <is>
          <t xml:space="preserve">Medium</t>
        </is>
      </c>
      <c r="D176" s="3" t="inlineStr">
        <is>
          <t xml:space="preserve">DP</t>
        </is>
      </c>
      <c r="E176" s="3" t="inlineStr">
        <is>
          <t xml:space="preserve">Not started</t>
        </is>
      </c>
      <c r="L176" s="2">
        <f>IF(F176="","",F176+1)</f>
      </c>
      <c r="M176" s="2">
        <f>IF(F176="","",F176+3)</f>
      </c>
      <c r="N176" s="2">
        <f>IF(F176="","",F176+7)</f>
      </c>
      <c r="O176" s="2">
        <f>IF(F176="","",F176+14)</f>
      </c>
    </row>
    <row r="177">
      <c r="A177" s="3">
        <v>92</v>
      </c>
      <c r="B177" s="4">
        <f>HYPERLINK("https://leetcode.com/problems/partition-equal-subset-sum/","Partition Equal Subset Sum (416)")</f>
      </c>
      <c r="C177" s="3" t="inlineStr">
        <is>
          <t xml:space="preserve">Medium</t>
        </is>
      </c>
      <c r="D177" s="3" t="inlineStr">
        <is>
          <t xml:space="preserve">DP</t>
        </is>
      </c>
      <c r="E177" s="3" t="inlineStr">
        <is>
          <t xml:space="preserve">Not started</t>
        </is>
      </c>
      <c r="L177" s="2">
        <f>IF(F177="","",F177+1)</f>
      </c>
      <c r="M177" s="2">
        <f>IF(F177="","",F177+3)</f>
      </c>
      <c r="N177" s="2">
        <f>IF(F177="","",F177+7)</f>
      </c>
      <c r="O177" s="2">
        <f>IF(F177="","",F177+14)</f>
      </c>
    </row>
    <row r="178">
      <c r="A178" s="3">
        <v>92</v>
      </c>
      <c r="B178" s="4">
        <f>HYPERLINK("PROBLEMS.md#x-knapsack-01","0/1 knapsack (classic) — derive state, then 1-D array looping backwards")</f>
      </c>
      <c r="C178" s="3" t="inlineStr">
        <is>
          <t xml:space="preserve">Custom</t>
        </is>
      </c>
      <c r="D178" s="3" t="inlineStr">
        <is>
          <t xml:space="preserve">DP</t>
        </is>
      </c>
      <c r="E178" s="3" t="inlineStr">
        <is>
          <t xml:space="preserve">Not started</t>
        </is>
      </c>
      <c r="L178" s="2">
        <f>IF(F178="","",F178+1)</f>
      </c>
      <c r="M178" s="2">
        <f>IF(F178="","",F178+3)</f>
      </c>
      <c r="N178" s="2">
        <f>IF(F178="","",F178+7)</f>
      </c>
      <c r="O178" s="2">
        <f>IF(F178="","",F178+14)</f>
      </c>
    </row>
    <row r="179">
      <c r="A179" s="3">
        <v>92</v>
      </c>
      <c r="B179" s="4">
        <f>HYPERLINK("PROBLEMS.md#x-subset-sum","Subset sum (boolean DP)")</f>
      </c>
      <c r="C179" s="3" t="inlineStr">
        <is>
          <t xml:space="preserve">Custom</t>
        </is>
      </c>
      <c r="D179" s="3" t="inlineStr">
        <is>
          <t xml:space="preserve">DP</t>
        </is>
      </c>
      <c r="E179" s="3" t="inlineStr">
        <is>
          <t xml:space="preserve">Not started</t>
        </is>
      </c>
      <c r="L179" s="2">
        <f>IF(F179="","",F179+1)</f>
      </c>
      <c r="M179" s="2">
        <f>IF(F179="","",F179+3)</f>
      </c>
      <c r="N179" s="2">
        <f>IF(F179="","",F179+7)</f>
      </c>
      <c r="O179" s="2">
        <f>IF(F179="","",F179+14)</f>
      </c>
    </row>
    <row r="180">
      <c r="A180" s="3">
        <v>93</v>
      </c>
      <c r="B180" s="4">
        <f>HYPERLINK("https://leetcode.com/problems/target-sum/","Target Sum (494)")</f>
      </c>
      <c r="C180" s="3" t="inlineStr">
        <is>
          <t xml:space="preserve">Medium</t>
        </is>
      </c>
      <c r="D180" s="3" t="inlineStr">
        <is>
          <t xml:space="preserve">DP</t>
        </is>
      </c>
      <c r="E180" s="3" t="inlineStr">
        <is>
          <t xml:space="preserve">Not started</t>
        </is>
      </c>
      <c r="L180" s="2">
        <f>IF(F180="","",F180+1)</f>
      </c>
      <c r="M180" s="2">
        <f>IF(F180="","",F180+3)</f>
      </c>
      <c r="N180" s="2">
        <f>IF(F180="","",F180+7)</f>
      </c>
      <c r="O180" s="2">
        <f>IF(F180="","",F180+14)</f>
      </c>
    </row>
    <row r="181">
      <c r="A181" s="3">
        <v>93</v>
      </c>
      <c r="B181" s="4">
        <f>HYPERLINK("https://leetcode.com/problems/coin-change-ii/","Coin Change II (518)")</f>
      </c>
      <c r="C181" s="3" t="inlineStr">
        <is>
          <t xml:space="preserve">Medium</t>
        </is>
      </c>
      <c r="D181" s="3" t="inlineStr">
        <is>
          <t xml:space="preserve">DP</t>
        </is>
      </c>
      <c r="E181" s="3" t="inlineStr">
        <is>
          <t xml:space="preserve">Not started</t>
        </is>
      </c>
      <c r="L181" s="2">
        <f>IF(F181="","",F181+1)</f>
      </c>
      <c r="M181" s="2">
        <f>IF(F181="","",F181+3)</f>
      </c>
      <c r="N181" s="2">
        <f>IF(F181="","",F181+7)</f>
      </c>
      <c r="O181" s="2">
        <f>IF(F181="","",F181+14)</f>
      </c>
    </row>
    <row r="182">
      <c r="A182" s="3">
        <v>94</v>
      </c>
      <c r="B182" s="4">
        <f>HYPERLINK("https://leetcode.com/problems/unique-paths/","Unique Paths (62)")</f>
      </c>
      <c r="C182" s="3" t="inlineStr">
        <is>
          <t xml:space="preserve">Medium</t>
        </is>
      </c>
      <c r="D182" s="3" t="inlineStr">
        <is>
          <t xml:space="preserve">DP</t>
        </is>
      </c>
      <c r="E182" s="3" t="inlineStr">
        <is>
          <t xml:space="preserve">Not started</t>
        </is>
      </c>
      <c r="L182" s="2">
        <f>IF(F182="","",F182+1)</f>
      </c>
      <c r="M182" s="2">
        <f>IF(F182="","",F182+3)</f>
      </c>
      <c r="N182" s="2">
        <f>IF(F182="","",F182+7)</f>
      </c>
      <c r="O182" s="2">
        <f>IF(F182="","",F182+14)</f>
      </c>
    </row>
    <row r="183">
      <c r="A183" s="3">
        <v>94</v>
      </c>
      <c r="B183" s="4">
        <f>HYPERLINK("https://leetcode.com/problems/unique-paths-ii/","Unique Paths II (63)")</f>
      </c>
      <c r="C183" s="3" t="inlineStr">
        <is>
          <t xml:space="preserve">Medium</t>
        </is>
      </c>
      <c r="D183" s="3" t="inlineStr">
        <is>
          <t xml:space="preserve">DP</t>
        </is>
      </c>
      <c r="E183" s="3" t="inlineStr">
        <is>
          <t xml:space="preserve">Not started</t>
        </is>
      </c>
      <c r="L183" s="2">
        <f>IF(F183="","",F183+1)</f>
      </c>
      <c r="M183" s="2">
        <f>IF(F183="","",F183+3)</f>
      </c>
      <c r="N183" s="2">
        <f>IF(F183="","",F183+7)</f>
      </c>
      <c r="O183" s="2">
        <f>IF(F183="","",F183+14)</f>
      </c>
    </row>
    <row r="184">
      <c r="A184" s="3">
        <v>94</v>
      </c>
      <c r="B184" s="4">
        <f>HYPERLINK("https://leetcode.com/problems/minimum-path-sum/","Minimum Path Sum (64)")</f>
      </c>
      <c r="C184" s="3" t="inlineStr">
        <is>
          <t xml:space="preserve">Medium</t>
        </is>
      </c>
      <c r="D184" s="3" t="inlineStr">
        <is>
          <t xml:space="preserve">DP</t>
        </is>
      </c>
      <c r="E184" s="3" t="inlineStr">
        <is>
          <t xml:space="preserve">Not started</t>
        </is>
      </c>
      <c r="L184" s="2">
        <f>IF(F184="","",F184+1)</f>
      </c>
      <c r="M184" s="2">
        <f>IF(F184="","",F184+3)</f>
      </c>
      <c r="N184" s="2">
        <f>IF(F184="","",F184+7)</f>
      </c>
      <c r="O184" s="2">
        <f>IF(F184="","",F184+14)</f>
      </c>
    </row>
    <row r="185">
      <c r="A185" s="3">
        <v>95</v>
      </c>
      <c r="B185" s="4">
        <f>HYPERLINK("https://leetcode.com/problems/last-stone-weight-ii/","Last Stone Weight II (1049)")</f>
      </c>
      <c r="C185" s="3" t="inlineStr">
        <is>
          <t xml:space="preserve">Medium</t>
        </is>
      </c>
      <c r="D185" s="3" t="inlineStr">
        <is>
          <t xml:space="preserve">DP</t>
        </is>
      </c>
      <c r="E185" s="3" t="inlineStr">
        <is>
          <t xml:space="preserve">Not started</t>
        </is>
      </c>
      <c r="L185" s="2">
        <f>IF(F185="","",F185+1)</f>
      </c>
      <c r="M185" s="2">
        <f>IF(F185="","",F185+3)</f>
      </c>
      <c r="N185" s="2">
        <f>IF(F185="","",F185+7)</f>
      </c>
      <c r="O185" s="2">
        <f>IF(F185="","",F185+14)</f>
      </c>
    </row>
    <row r="186">
      <c r="A186" s="3">
        <v>95</v>
      </c>
      <c r="B186" s="4">
        <f>HYPERLINK("https://leetcode.com/problems/perfect-squares/","Perfect Squares (279)")</f>
      </c>
      <c r="C186" s="3" t="inlineStr">
        <is>
          <t xml:space="preserve">Medium</t>
        </is>
      </c>
      <c r="D186" s="3" t="inlineStr">
        <is>
          <t xml:space="preserve">DP</t>
        </is>
      </c>
      <c r="E186" s="3" t="inlineStr">
        <is>
          <t xml:space="preserve">Not started</t>
        </is>
      </c>
      <c r="L186" s="2">
        <f>IF(F186="","",F186+1)</f>
      </c>
      <c r="M186" s="2">
        <f>IF(F186="","",F186+3)</f>
      </c>
      <c r="N186" s="2">
        <f>IF(F186="","",F186+7)</f>
      </c>
      <c r="O186" s="2">
        <f>IF(F186="","",F186+14)</f>
      </c>
    </row>
    <row r="187">
      <c r="A187" s="3">
        <v>95</v>
      </c>
      <c r="B187" s="4">
        <f>HYPERLINK("https://leetcode.com/problems/ones-and-zeroes/","Ones and Zeroes (474)")</f>
      </c>
      <c r="C187" s="3" t="inlineStr">
        <is>
          <t xml:space="preserve">Medium</t>
        </is>
      </c>
      <c r="D187" s="3" t="inlineStr">
        <is>
          <t xml:space="preserve">DP</t>
        </is>
      </c>
      <c r="E187" s="3" t="inlineStr">
        <is>
          <t xml:space="preserve">Not started</t>
        </is>
      </c>
      <c r="L187" s="2">
        <f>IF(F187="","",F187+1)</f>
      </c>
      <c r="M187" s="2">
        <f>IF(F187="","",F187+3)</f>
      </c>
      <c r="N187" s="2">
        <f>IF(F187="","",F187+7)</f>
      </c>
      <c r="O187" s="2">
        <f>IF(F187="","",F187+14)</f>
      </c>
    </row>
    <row r="188">
      <c r="A188" s="3">
        <v>96</v>
      </c>
      <c r="B188" s="4">
        <f>HYPERLINK("https://leetcode.com/problems/triangle/","Triangle (120)")</f>
      </c>
      <c r="C188" s="3" t="inlineStr">
        <is>
          <t xml:space="preserve">Medium</t>
        </is>
      </c>
      <c r="D188" s="3" t="inlineStr">
        <is>
          <t xml:space="preserve">DP</t>
        </is>
      </c>
      <c r="E188" s="3" t="inlineStr">
        <is>
          <t xml:space="preserve">Not started</t>
        </is>
      </c>
      <c r="L188" s="2">
        <f>IF(F188="","",F188+1)</f>
      </c>
      <c r="M188" s="2">
        <f>IF(F188="","",F188+3)</f>
      </c>
      <c r="N188" s="2">
        <f>IF(F188="","",F188+7)</f>
      </c>
      <c r="O188" s="2">
        <f>IF(F188="","",F188+14)</f>
      </c>
    </row>
    <row r="189">
      <c r="A189" s="3">
        <v>97</v>
      </c>
      <c r="B189" s="4">
        <f>HYPERLINK("https://leetcode.com/problems/count-square-submatrices-with-all-ones/","Count Square Submatrices with All Ones (1277)")</f>
      </c>
      <c r="C189" s="3" t="inlineStr">
        <is>
          <t xml:space="preserve">Medium</t>
        </is>
      </c>
      <c r="D189" s="3" t="inlineStr">
        <is>
          <t xml:space="preserve">DP</t>
        </is>
      </c>
      <c r="E189" s="3" t="inlineStr">
        <is>
          <t xml:space="preserve">Not started</t>
        </is>
      </c>
      <c r="L189" s="2">
        <f>IF(F189="","",F189+1)</f>
      </c>
      <c r="M189" s="2">
        <f>IF(F189="","",F189+3)</f>
      </c>
      <c r="N189" s="2">
        <f>IF(F189="","",F189+7)</f>
      </c>
      <c r="O189" s="2">
        <f>IF(F189="","",F189+14)</f>
      </c>
    </row>
    <row r="190">
      <c r="A190" s="3">
        <v>97</v>
      </c>
      <c r="B190" s="4">
        <f>HYPERLINK("https://leetcode.com/problems/maximal-square/","Maximal Square (221)")</f>
      </c>
      <c r="C190" s="3" t="inlineStr">
        <is>
          <t xml:space="preserve">Medium</t>
        </is>
      </c>
      <c r="D190" s="3" t="inlineStr">
        <is>
          <t xml:space="preserve">DP</t>
        </is>
      </c>
      <c r="E190" s="3" t="inlineStr">
        <is>
          <t xml:space="preserve">Not started</t>
        </is>
      </c>
      <c r="L190" s="2">
        <f>IF(F190="","",F190+1)</f>
      </c>
      <c r="M190" s="2">
        <f>IF(F190="","",F190+3)</f>
      </c>
      <c r="N190" s="2">
        <f>IF(F190="","",F190+7)</f>
      </c>
      <c r="O190" s="2">
        <f>IF(F190="","",F190+14)</f>
      </c>
    </row>
    <row r="191">
      <c r="A191" s="3">
        <v>99</v>
      </c>
      <c r="B191" s="4">
        <f>HYPERLINK("https://leetcode.com/problems/longest-common-subsequence/","Longest Common Subsequence (1143)")</f>
      </c>
      <c r="C191" s="3" t="inlineStr">
        <is>
          <t xml:space="preserve">Medium</t>
        </is>
      </c>
      <c r="D191" s="3" t="inlineStr">
        <is>
          <t xml:space="preserve">DP</t>
        </is>
      </c>
      <c r="E191" s="3" t="inlineStr">
        <is>
          <t xml:space="preserve">Not started</t>
        </is>
      </c>
      <c r="L191" s="2">
        <f>IF(F191="","",F191+1)</f>
      </c>
      <c r="M191" s="2">
        <f>IF(F191="","",F191+3)</f>
      </c>
      <c r="N191" s="2">
        <f>IF(F191="","",F191+7)</f>
      </c>
      <c r="O191" s="2">
        <f>IF(F191="","",F191+14)</f>
      </c>
    </row>
    <row r="192">
      <c r="A192" s="3">
        <v>100</v>
      </c>
      <c r="B192" s="4">
        <f>HYPERLINK("https://leetcode.com/problems/edit-distance/","Edit Distance (72)")</f>
      </c>
      <c r="C192" s="3" t="inlineStr">
        <is>
          <t xml:space="preserve">Medium</t>
        </is>
      </c>
      <c r="D192" s="3" t="inlineStr">
        <is>
          <t xml:space="preserve">DP</t>
        </is>
      </c>
      <c r="E192" s="3" t="inlineStr">
        <is>
          <t xml:space="preserve">Not started</t>
        </is>
      </c>
      <c r="L192" s="2">
        <f>IF(F192="","",F192+1)</f>
      </c>
      <c r="M192" s="2">
        <f>IF(F192="","",F192+3)</f>
      </c>
      <c r="N192" s="2">
        <f>IF(F192="","",F192+7)</f>
      </c>
      <c r="O192" s="2">
        <f>IF(F192="","",F192+14)</f>
      </c>
    </row>
    <row r="193">
      <c r="A193" s="3">
        <v>100</v>
      </c>
      <c r="B193" s="4">
        <f>HYPERLINK("https://leetcode.com/problems/interleaving-string/","Interleaving String (97)")</f>
      </c>
      <c r="C193" s="3" t="inlineStr">
        <is>
          <t xml:space="preserve">Medium</t>
        </is>
      </c>
      <c r="D193" s="3" t="inlineStr">
        <is>
          <t xml:space="preserve">DP</t>
        </is>
      </c>
      <c r="E193" s="3" t="inlineStr">
        <is>
          <t xml:space="preserve">Not started</t>
        </is>
      </c>
      <c r="L193" s="2">
        <f>IF(F193="","",F193+1)</f>
      </c>
      <c r="M193" s="2">
        <f>IF(F193="","",F193+3)</f>
      </c>
      <c r="N193" s="2">
        <f>IF(F193="","",F193+7)</f>
      </c>
      <c r="O193" s="2">
        <f>IF(F193="","",F193+14)</f>
      </c>
    </row>
    <row r="194">
      <c r="A194" s="3">
        <v>101</v>
      </c>
      <c r="B194" s="4">
        <f>HYPERLINK("https://leetcode.com/problems/best-time-to-buy-and-sell-stock-ii/","Best Time to Buy and Sell Stock II (122)")</f>
      </c>
      <c r="C194" s="3" t="inlineStr">
        <is>
          <t xml:space="preserve">Medium</t>
        </is>
      </c>
      <c r="D194" s="3" t="inlineStr">
        <is>
          <t xml:space="preserve">Greedy</t>
        </is>
      </c>
      <c r="E194" s="3" t="inlineStr">
        <is>
          <t xml:space="preserve">Not started</t>
        </is>
      </c>
      <c r="L194" s="2">
        <f>IF(F194="","",F194+1)</f>
      </c>
      <c r="M194" s="2">
        <f>IF(F194="","",F194+3)</f>
      </c>
      <c r="N194" s="2">
        <f>IF(F194="","",F194+7)</f>
      </c>
      <c r="O194" s="2">
        <f>IF(F194="","",F194+14)</f>
      </c>
    </row>
    <row r="195">
      <c r="A195" s="3">
        <v>101</v>
      </c>
      <c r="B195" s="4">
        <f>HYPERLINK("https://leetcode.com/problems/best-time-to-buy-and-sell-stock-with-cooldown/","Best Time to Buy and Sell Stock with Cooldown (309)")</f>
      </c>
      <c r="C195" s="3" t="inlineStr">
        <is>
          <t xml:space="preserve">Medium</t>
        </is>
      </c>
      <c r="D195" s="3" t="inlineStr">
        <is>
          <t xml:space="preserve">DP</t>
        </is>
      </c>
      <c r="E195" s="3" t="inlineStr">
        <is>
          <t xml:space="preserve">Not started</t>
        </is>
      </c>
      <c r="L195" s="2">
        <f>IF(F195="","",F195+1)</f>
      </c>
      <c r="M195" s="2">
        <f>IF(F195="","",F195+3)</f>
      </c>
      <c r="N195" s="2">
        <f>IF(F195="","",F195+7)</f>
      </c>
      <c r="O195" s="2">
        <f>IF(F195="","",F195+14)</f>
      </c>
    </row>
    <row r="196">
      <c r="A196" s="3">
        <v>102</v>
      </c>
      <c r="B196" s="4">
        <f>HYPERLINK("https://leetcode.com/problems/longest-palindromic-subsequence/","Longest Palindromic Subsequence (516)")</f>
      </c>
      <c r="C196" s="3" t="inlineStr">
        <is>
          <t xml:space="preserve">Medium</t>
        </is>
      </c>
      <c r="D196" s="3" t="inlineStr">
        <is>
          <t xml:space="preserve">DP</t>
        </is>
      </c>
      <c r="E196" s="3" t="inlineStr">
        <is>
          <t xml:space="preserve">Not started</t>
        </is>
      </c>
      <c r="L196" s="2">
        <f>IF(F196="","",F196+1)</f>
      </c>
      <c r="M196" s="2">
        <f>IF(F196="","",F196+3)</f>
      </c>
      <c r="N196" s="2">
        <f>IF(F196="","",F196+7)</f>
      </c>
      <c r="O196" s="2">
        <f>IF(F196="","",F196+14)</f>
      </c>
    </row>
    <row r="197">
      <c r="A197" s="3">
        <v>102</v>
      </c>
      <c r="B197" s="4">
        <f>HYPERLINK("https://leetcode.com/problems/number-of-longest-increasing-subsequence/","Number of Longest Increasing Subsequence (673)")</f>
      </c>
      <c r="C197" s="3" t="inlineStr">
        <is>
          <t xml:space="preserve">Medium</t>
        </is>
      </c>
      <c r="D197" s="3" t="inlineStr">
        <is>
          <t xml:space="preserve">DP</t>
        </is>
      </c>
      <c r="E197" s="3" t="inlineStr">
        <is>
          <t xml:space="preserve">Not started</t>
        </is>
      </c>
      <c r="L197" s="2">
        <f>IF(F197="","",F197+1)</f>
      </c>
      <c r="M197" s="2">
        <f>IF(F197="","",F197+3)</f>
      </c>
      <c r="N197" s="2">
        <f>IF(F197="","",F197+7)</f>
      </c>
      <c r="O197" s="2">
        <f>IF(F197="","",F197+14)</f>
      </c>
    </row>
    <row r="198">
      <c r="A198" s="3">
        <v>103</v>
      </c>
      <c r="B198" s="4">
        <f>HYPERLINK("https://leetcode.com/problems/distinct-subsequences/","Distinct Subsequences (115)")</f>
      </c>
      <c r="C198" s="3" t="inlineStr">
        <is>
          <t xml:space="preserve">Hard</t>
        </is>
      </c>
      <c r="D198" s="3" t="inlineStr">
        <is>
          <t xml:space="preserve">DP</t>
        </is>
      </c>
      <c r="E198" s="3" t="inlineStr">
        <is>
          <t xml:space="preserve">Not started</t>
        </is>
      </c>
      <c r="L198" s="2">
        <f>IF(F198="","",F198+1)</f>
      </c>
      <c r="M198" s="2">
        <f>IF(F198="","",F198+3)</f>
      </c>
      <c r="N198" s="2">
        <f>IF(F198="","",F198+7)</f>
      </c>
      <c r="O198" s="2">
        <f>IF(F198="","",F198+14)</f>
      </c>
    </row>
    <row r="199">
      <c r="A199" s="3">
        <v>106</v>
      </c>
      <c r="B199" s="4">
        <f>HYPERLINK("https://leetcode.com/problems/next-greater-element-i/","Next Greater Element I (496)")</f>
      </c>
      <c r="C199" s="3" t="inlineStr">
        <is>
          <t xml:space="preserve">Easy</t>
        </is>
      </c>
      <c r="D199" s="3" t="inlineStr">
        <is>
          <t xml:space="preserve">Monotonic</t>
        </is>
      </c>
      <c r="E199" s="3" t="inlineStr">
        <is>
          <t xml:space="preserve">Not started</t>
        </is>
      </c>
      <c r="L199" s="2">
        <f>IF(F199="","",F199+1)</f>
      </c>
      <c r="M199" s="2">
        <f>IF(F199="","",F199+3)</f>
      </c>
      <c r="N199" s="2">
        <f>IF(F199="","",F199+7)</f>
      </c>
      <c r="O199" s="2">
        <f>IF(F199="","",F199+14)</f>
      </c>
    </row>
    <row r="200">
      <c r="A200" s="3">
        <v>106</v>
      </c>
      <c r="B200" s="4">
        <f>HYPERLINK("https://leetcode.com/problems/next-greater-element-ii/","Next Greater Element II (503)")</f>
      </c>
      <c r="C200" s="3" t="inlineStr">
        <is>
          <t xml:space="preserve">Medium</t>
        </is>
      </c>
      <c r="D200" s="3" t="inlineStr">
        <is>
          <t xml:space="preserve">Monotonic</t>
        </is>
      </c>
      <c r="E200" s="3" t="inlineStr">
        <is>
          <t xml:space="preserve">Not started</t>
        </is>
      </c>
      <c r="L200" s="2">
        <f>IF(F200="","",F200+1)</f>
      </c>
      <c r="M200" s="2">
        <f>IF(F200="","",F200+3)</f>
      </c>
      <c r="N200" s="2">
        <f>IF(F200="","",F200+7)</f>
      </c>
      <c r="O200" s="2">
        <f>IF(F200="","",F200+14)</f>
      </c>
    </row>
    <row r="201">
      <c r="A201" s="3">
        <v>106</v>
      </c>
      <c r="B201" s="4">
        <f>HYPERLINK("https://leetcode.com/problems/daily-temperatures/","Daily Temperatures (739)")</f>
      </c>
      <c r="C201" s="3" t="inlineStr">
        <is>
          <t xml:space="preserve">Medium</t>
        </is>
      </c>
      <c r="D201" s="3" t="inlineStr">
        <is>
          <t xml:space="preserve">Monotonic</t>
        </is>
      </c>
      <c r="E201" s="3" t="inlineStr">
        <is>
          <t xml:space="preserve">Not started</t>
        </is>
      </c>
      <c r="L201" s="2">
        <f>IF(F201="","",F201+1)</f>
      </c>
      <c r="M201" s="2">
        <f>IF(F201="","",F201+3)</f>
      </c>
      <c r="N201" s="2">
        <f>IF(F201="","",F201+7)</f>
      </c>
      <c r="O201" s="2">
        <f>IF(F201="","",F201+14)</f>
      </c>
    </row>
    <row r="202">
      <c r="A202" s="3">
        <v>107</v>
      </c>
      <c r="B202" s="4">
        <f>HYPERLINK("https://leetcode.com/problems/sliding-window-maximum/","Sliding Window Maximum (239)")</f>
      </c>
      <c r="C202" s="3" t="inlineStr">
        <is>
          <t xml:space="preserve">Hard</t>
        </is>
      </c>
      <c r="D202" s="3" t="inlineStr">
        <is>
          <t xml:space="preserve">Monotonic</t>
        </is>
      </c>
      <c r="E202" s="3" t="inlineStr">
        <is>
          <t xml:space="preserve">Not started</t>
        </is>
      </c>
      <c r="L202" s="2">
        <f>IF(F202="","",F202+1)</f>
      </c>
      <c r="M202" s="2">
        <f>IF(F202="","",F202+3)</f>
      </c>
      <c r="N202" s="2">
        <f>IF(F202="","",F202+7)</f>
      </c>
      <c r="O202" s="2">
        <f>IF(F202="","",F202+14)</f>
      </c>
    </row>
    <row r="203">
      <c r="A203" s="3">
        <v>107</v>
      </c>
      <c r="B203" s="4">
        <f>HYPERLINK("https://leetcode.com/problems/largest-rectangle-in-histogram/","Largest Rectangle in Histogram (84)")</f>
      </c>
      <c r="C203" s="3" t="inlineStr">
        <is>
          <t xml:space="preserve">Hard</t>
        </is>
      </c>
      <c r="D203" s="3" t="inlineStr">
        <is>
          <t xml:space="preserve">Monotonic</t>
        </is>
      </c>
      <c r="E203" s="3" t="inlineStr">
        <is>
          <t xml:space="preserve">Not started</t>
        </is>
      </c>
      <c r="L203" s="2">
        <f>IF(F203="","",F203+1)</f>
      </c>
      <c r="M203" s="2">
        <f>IF(F203="","",F203+3)</f>
      </c>
      <c r="N203" s="2">
        <f>IF(F203="","",F203+7)</f>
      </c>
      <c r="O203" s="2">
        <f>IF(F203="","",F203+14)</f>
      </c>
    </row>
    <row r="204">
      <c r="A204" s="3">
        <v>107</v>
      </c>
      <c r="B204" s="4">
        <f>HYPERLINK("https://leetcode.com/problems/online-stock-span/","Online Stock Span (901)")</f>
      </c>
      <c r="C204" s="3" t="inlineStr">
        <is>
          <t xml:space="preserve">Medium</t>
        </is>
      </c>
      <c r="D204" s="3" t="inlineStr">
        <is>
          <t xml:space="preserve">Monotonic</t>
        </is>
      </c>
      <c r="E204" s="3" t="inlineStr">
        <is>
          <t xml:space="preserve">Not started</t>
        </is>
      </c>
      <c r="L204" s="2">
        <f>IF(F204="","",F204+1)</f>
      </c>
      <c r="M204" s="2">
        <f>IF(F204="","",F204+3)</f>
      </c>
      <c r="N204" s="2">
        <f>IF(F204="","",F204+7)</f>
      </c>
      <c r="O204" s="2">
        <f>IF(F204="","",F204+14)</f>
      </c>
    </row>
    <row r="205">
      <c r="A205" s="3">
        <v>108</v>
      </c>
      <c r="B205" s="4">
        <f>HYPERLINK("https://leetcode.com/problems/search-suggestions-system/","Search Suggestions System (1268)")</f>
      </c>
      <c r="C205" s="3" t="inlineStr">
        <is>
          <t xml:space="preserve">Medium</t>
        </is>
      </c>
      <c r="D205" s="3" t="inlineStr">
        <is>
          <t xml:space="preserve">Trie</t>
        </is>
      </c>
      <c r="E205" s="3" t="inlineStr">
        <is>
          <t xml:space="preserve">Not started</t>
        </is>
      </c>
      <c r="L205" s="2">
        <f>IF(F205="","",F205+1)</f>
      </c>
      <c r="M205" s="2">
        <f>IF(F205="","",F205+3)</f>
      </c>
      <c r="N205" s="2">
        <f>IF(F205="","",F205+7)</f>
      </c>
      <c r="O205" s="2">
        <f>IF(F205="","",F205+14)</f>
      </c>
    </row>
    <row r="206">
      <c r="A206" s="3">
        <v>108</v>
      </c>
      <c r="B206" s="4">
        <f>HYPERLINK("https://leetcode.com/problems/implement-trie-prefix-tree/","Implement Trie (Prefix Tree) (208)")</f>
      </c>
      <c r="C206" s="3" t="inlineStr">
        <is>
          <t xml:space="preserve">Medium</t>
        </is>
      </c>
      <c r="D206" s="3" t="inlineStr">
        <is>
          <t xml:space="preserve">Trie</t>
        </is>
      </c>
      <c r="E206" s="3" t="inlineStr">
        <is>
          <t xml:space="preserve">Not started</t>
        </is>
      </c>
      <c r="L206" s="2">
        <f>IF(F206="","",F206+1)</f>
      </c>
      <c r="M206" s="2">
        <f>IF(F206="","",F206+3)</f>
      </c>
      <c r="N206" s="2">
        <f>IF(F206="","",F206+7)</f>
      </c>
      <c r="O206" s="2">
        <f>IF(F206="","",F206+14)</f>
      </c>
    </row>
    <row r="207">
      <c r="A207" s="3">
        <v>108</v>
      </c>
      <c r="B207" s="4">
        <f>HYPERLINK("https://leetcode.com/problems/design-add-and-search-words-data-structure/","Design Add and Search Words Data Structure (211)")</f>
      </c>
      <c r="C207" s="3" t="inlineStr">
        <is>
          <t xml:space="preserve">Medium</t>
        </is>
      </c>
      <c r="D207" s="3" t="inlineStr">
        <is>
          <t xml:space="preserve">Trie</t>
        </is>
      </c>
      <c r="E207" s="3" t="inlineStr">
        <is>
          <t xml:space="preserve">Not started</t>
        </is>
      </c>
      <c r="L207" s="2">
        <f>IF(F207="","",F207+1)</f>
      </c>
      <c r="M207" s="2">
        <f>IF(F207="","",F207+3)</f>
      </c>
      <c r="N207" s="2">
        <f>IF(F207="","",F207+7)</f>
      </c>
      <c r="O207" s="2">
        <f>IF(F207="","",F207+14)</f>
      </c>
    </row>
    <row r="208">
      <c r="A208" s="3">
        <v>109</v>
      </c>
      <c r="B208" s="4">
        <f>HYPERLINK("https://leetcode.com/problems/single-number/","Single Number (136)")</f>
      </c>
      <c r="C208" s="3" t="inlineStr">
        <is>
          <t xml:space="preserve">Easy</t>
        </is>
      </c>
      <c r="D208" s="3" t="inlineStr">
        <is>
          <t xml:space="preserve">Bits &amp; Math</t>
        </is>
      </c>
      <c r="E208" s="3" t="inlineStr">
        <is>
          <t xml:space="preserve">Not started</t>
        </is>
      </c>
      <c r="L208" s="2">
        <f>IF(F208="","",F208+1)</f>
      </c>
      <c r="M208" s="2">
        <f>IF(F208="","",F208+3)</f>
      </c>
      <c r="N208" s="2">
        <f>IF(F208="","",F208+7)</f>
      </c>
      <c r="O208" s="2">
        <f>IF(F208="","",F208+14)</f>
      </c>
    </row>
    <row r="209">
      <c r="A209" s="3">
        <v>109</v>
      </c>
      <c r="B209" s="4">
        <f>HYPERLINK("https://leetcode.com/problems/reverse-bits/","Reverse Bits (190)")</f>
      </c>
      <c r="C209" s="3" t="inlineStr">
        <is>
          <t xml:space="preserve">Easy</t>
        </is>
      </c>
      <c r="D209" s="3" t="inlineStr">
        <is>
          <t xml:space="preserve">Bits &amp; Math</t>
        </is>
      </c>
      <c r="E209" s="3" t="inlineStr">
        <is>
          <t xml:space="preserve">Not started</t>
        </is>
      </c>
      <c r="L209" s="2">
        <f>IF(F209="","",F209+1)</f>
      </c>
      <c r="M209" s="2">
        <f>IF(F209="","",F209+3)</f>
      </c>
      <c r="N209" s="2">
        <f>IF(F209="","",F209+7)</f>
      </c>
      <c r="O209" s="2">
        <f>IF(F209="","",F209+14)</f>
      </c>
    </row>
    <row r="210">
      <c r="A210" s="3">
        <v>109</v>
      </c>
      <c r="B210" s="4">
        <f>HYPERLINK("https://leetcode.com/problems/number-of-1-bits/","Number of 1 Bits (191)")</f>
      </c>
      <c r="C210" s="3" t="inlineStr">
        <is>
          <t xml:space="preserve">Easy</t>
        </is>
      </c>
      <c r="D210" s="3" t="inlineStr">
        <is>
          <t xml:space="preserve">Bits &amp; Math</t>
        </is>
      </c>
      <c r="E210" s="3" t="inlineStr">
        <is>
          <t xml:space="preserve">Not started</t>
        </is>
      </c>
      <c r="L210" s="2">
        <f>IF(F210="","",F210+1)</f>
      </c>
      <c r="M210" s="2">
        <f>IF(F210="","",F210+3)</f>
      </c>
      <c r="N210" s="2">
        <f>IF(F210="","",F210+7)</f>
      </c>
      <c r="O210" s="2">
        <f>IF(F210="","",F210+14)</f>
      </c>
    </row>
    <row r="211">
      <c r="A211" s="3">
        <v>109</v>
      </c>
      <c r="B211" s="4">
        <f>HYPERLINK("https://leetcode.com/problems/missing-number/","Missing Number (268)")</f>
      </c>
      <c r="C211" s="3" t="inlineStr">
        <is>
          <t xml:space="preserve">Easy</t>
        </is>
      </c>
      <c r="D211" s="3" t="inlineStr">
        <is>
          <t xml:space="preserve">Bits &amp; Math</t>
        </is>
      </c>
      <c r="E211" s="3" t="inlineStr">
        <is>
          <t xml:space="preserve">Not started</t>
        </is>
      </c>
      <c r="L211" s="2">
        <f>IF(F211="","",F211+1)</f>
      </c>
      <c r="M211" s="2">
        <f>IF(F211="","",F211+3)</f>
      </c>
      <c r="N211" s="2">
        <f>IF(F211="","",F211+7)</f>
      </c>
      <c r="O211" s="2">
        <f>IF(F211="","",F211+14)</f>
      </c>
    </row>
    <row r="212">
      <c r="A212" s="3">
        <v>109</v>
      </c>
      <c r="B212" s="4">
        <f>HYPERLINK("https://leetcode.com/problems/counting-bits/","Counting Bits (338)")</f>
      </c>
      <c r="C212" s="3" t="inlineStr">
        <is>
          <t xml:space="preserve">Easy</t>
        </is>
      </c>
      <c r="D212" s="3" t="inlineStr">
        <is>
          <t xml:space="preserve">Bits &amp; Math</t>
        </is>
      </c>
      <c r="E212" s="3" t="inlineStr">
        <is>
          <t xml:space="preserve">Not started</t>
        </is>
      </c>
      <c r="L212" s="2">
        <f>IF(F212="","",F212+1)</f>
      </c>
      <c r="M212" s="2">
        <f>IF(F212="","",F212+3)</f>
      </c>
      <c r="N212" s="2">
        <f>IF(F212="","",F212+7)</f>
      </c>
      <c r="O212" s="2">
        <f>IF(F212="","",F212+14)</f>
      </c>
    </row>
    <row r="213">
      <c r="A213" s="3">
        <v>110</v>
      </c>
      <c r="B213" s="4">
        <f>HYPERLINK("https://leetcode.com/problems/power-of-two/","Power of Two (231)")</f>
      </c>
      <c r="C213" s="3" t="inlineStr">
        <is>
          <t xml:space="preserve">Easy</t>
        </is>
      </c>
      <c r="D213" s="3" t="inlineStr">
        <is>
          <t xml:space="preserve">Bits &amp; Math</t>
        </is>
      </c>
      <c r="E213" s="3" t="inlineStr">
        <is>
          <t xml:space="preserve">Not started</t>
        </is>
      </c>
      <c r="L213" s="2">
        <f>IF(F213="","",F213+1)</f>
      </c>
      <c r="M213" s="2">
        <f>IF(F213="","",F213+3)</f>
      </c>
      <c r="N213" s="2">
        <f>IF(F213="","",F213+7)</f>
      </c>
      <c r="O213" s="2">
        <f>IF(F213="","",F213+14)</f>
      </c>
    </row>
    <row r="214">
      <c r="A214" s="3">
        <v>110</v>
      </c>
      <c r="B214" s="4">
        <f>HYPERLINK("https://leetcode.com/problems/remove-k-digits/","Remove K Digits (402)")</f>
      </c>
      <c r="C214" s="3" t="inlineStr">
        <is>
          <t xml:space="preserve">Medium</t>
        </is>
      </c>
      <c r="D214" s="3" t="inlineStr">
        <is>
          <t xml:space="preserve">Monotonic</t>
        </is>
      </c>
      <c r="E214" s="3" t="inlineStr">
        <is>
          <t xml:space="preserve">Not started</t>
        </is>
      </c>
      <c r="L214" s="2">
        <f>IF(F214="","",F214+1)</f>
      </c>
      <c r="M214" s="2">
        <f>IF(F214="","",F214+3)</f>
      </c>
      <c r="N214" s="2">
        <f>IF(F214="","",F214+7)</f>
      </c>
      <c r="O214" s="2">
        <f>IF(F214="","",F214+14)</f>
      </c>
    </row>
    <row r="215">
      <c r="A215" s="3">
        <v>110</v>
      </c>
      <c r="B215" s="4">
        <f>HYPERLINK("PROBLEMS.md#x-prev-smaller","Previous smaller element with a monotonic stack")</f>
      </c>
      <c r="C215" s="3" t="inlineStr">
        <is>
          <t xml:space="preserve">Custom</t>
        </is>
      </c>
      <c r="D215" s="3" t="inlineStr">
        <is>
          <t xml:space="preserve">Monotonic</t>
        </is>
      </c>
      <c r="E215" s="3" t="inlineStr">
        <is>
          <t xml:space="preserve">Not started</t>
        </is>
      </c>
      <c r="L215" s="2">
        <f>IF(F215="","",F215+1)</f>
      </c>
      <c r="M215" s="2">
        <f>IF(F215="","",F215+3)</f>
      </c>
      <c r="N215" s="2">
        <f>IF(F215="","",F215+7)</f>
      </c>
      <c r="O215" s="2">
        <f>IF(F215="","",F215+14)</f>
      </c>
    </row>
    <row r="216">
      <c r="A216" s="3">
        <v>110</v>
      </c>
      <c r="B216" s="4">
        <f>HYPERLINK("PROBLEMS.md#x-sieve-gcd","Sieve of Eratosthenes, GCD/LCM, fast power with modulo")</f>
      </c>
      <c r="C216" s="3" t="inlineStr">
        <is>
          <t xml:space="preserve">Custom</t>
        </is>
      </c>
      <c r="D216" s="3" t="inlineStr">
        <is>
          <t xml:space="preserve">Bits &amp; Math</t>
        </is>
      </c>
      <c r="E216" s="3" t="inlineStr">
        <is>
          <t xml:space="preserve">Not started</t>
        </is>
      </c>
      <c r="L216" s="2">
        <f>IF(F216="","",F216+1)</f>
      </c>
      <c r="M216" s="2">
        <f>IF(F216="","",F216+3)</f>
      </c>
      <c r="N216" s="2">
        <f>IF(F216="","",F216+7)</f>
      </c>
      <c r="O216" s="2">
        <f>IF(F216="","",F216+14)</f>
      </c>
    </row>
    <row r="217">
      <c r="A217" s="3">
        <v>111</v>
      </c>
      <c r="B217" s="4">
        <f>HYPERLINK("https://leetcode.com/problems/word-search-ii/","Word Search II (212)")</f>
      </c>
      <c r="C217" s="3" t="inlineStr">
        <is>
          <t xml:space="preserve">Hard</t>
        </is>
      </c>
      <c r="D217" s="3" t="inlineStr">
        <is>
          <t xml:space="preserve">Trie</t>
        </is>
      </c>
      <c r="E217" s="3" t="inlineStr">
        <is>
          <t xml:space="preserve">Not started</t>
        </is>
      </c>
      <c r="L217" s="2">
        <f>IF(F217="","",F217+1)</f>
      </c>
      <c r="M217" s="2">
        <f>IF(F217="","",F217+3)</f>
      </c>
      <c r="N217" s="2">
        <f>IF(F217="","",F217+7)</f>
      </c>
      <c r="O217" s="2">
        <f>IF(F217="","",F217+14)</f>
      </c>
    </row>
    <row r="218">
      <c r="A218" s="3">
        <v>111</v>
      </c>
      <c r="B218" s="4">
        <f>HYPERLINK("https://leetcode.com/problems/single-number-iii/","Single Number III (260)")</f>
      </c>
      <c r="C218" s="3" t="inlineStr">
        <is>
          <t xml:space="preserve">Medium</t>
        </is>
      </c>
      <c r="D218" s="3" t="inlineStr">
        <is>
          <t xml:space="preserve">Bits &amp; Math</t>
        </is>
      </c>
      <c r="E218" s="3" t="inlineStr">
        <is>
          <t xml:space="preserve">Not started</t>
        </is>
      </c>
      <c r="L218" s="2">
        <f>IF(F218="","",F218+1)</f>
      </c>
      <c r="M218" s="2">
        <f>IF(F218="","",F218+3)</f>
      </c>
      <c r="N218" s="2">
        <f>IF(F218="","",F218+7)</f>
      </c>
      <c r="O218" s="2">
        <f>IF(F218="","",F218+14)</f>
      </c>
    </row>
    <row r="219">
      <c r="A219" s="3">
        <v>111</v>
      </c>
      <c r="B219" s="4">
        <f>HYPERLINK("https://leetcode.com/problems/sum-of-two-integers/","Sum of Two Integers (371)")</f>
      </c>
      <c r="C219" s="3" t="inlineStr">
        <is>
          <t xml:space="preserve">Medium</t>
        </is>
      </c>
      <c r="D219" s="3" t="inlineStr">
        <is>
          <t xml:space="preserve">Bits &amp; Math</t>
        </is>
      </c>
      <c r="E219" s="3" t="inlineStr">
        <is>
          <t xml:space="preserve">Not started</t>
        </is>
      </c>
      <c r="L219" s="2">
        <f>IF(F219="","",F219+1)</f>
      </c>
      <c r="M219" s="2">
        <f>IF(F219="","",F219+3)</f>
      </c>
      <c r="N219" s="2">
        <f>IF(F219="","",F219+7)</f>
      </c>
      <c r="O219" s="2">
        <f>IF(F219="","",F219+14)</f>
      </c>
    </row>
    <row r="220">
      <c r="A220" s="3">
        <v>111</v>
      </c>
      <c r="B220" s="4">
        <f>HYPERLINK("https://leetcode.com/problems/trapping-rain-water/","Trapping Rain Water (42)")</f>
      </c>
      <c r="C220" s="3" t="inlineStr">
        <is>
          <t xml:space="preserve">Hard</t>
        </is>
      </c>
      <c r="D220" s="3" t="inlineStr">
        <is>
          <t xml:space="preserve">Two pointers</t>
        </is>
      </c>
      <c r="E220" s="3" t="inlineStr">
        <is>
          <t xml:space="preserve">Not started</t>
        </is>
      </c>
      <c r="L220" s="2">
        <f>IF(F220="","",F220+1)</f>
      </c>
      <c r="M220" s="2">
        <f>IF(F220="","",F220+3)</f>
      </c>
      <c r="N220" s="2">
        <f>IF(F220="","",F220+7)</f>
      </c>
      <c r="O220" s="2">
        <f>IF(F220="","",F220+14)</f>
      </c>
    </row>
    <row r="221">
      <c r="A221" s="3">
        <v>113</v>
      </c>
      <c r="B221" s="4">
        <f>HYPERLINK("https://leetcode.com/problems/find-all-anagrams-in-a-string/","Find All Anagrams in a String (438)")</f>
      </c>
      <c r="C221" s="3" t="inlineStr">
        <is>
          <t xml:space="preserve">Medium</t>
        </is>
      </c>
      <c r="D221" s="3" t="inlineStr">
        <is>
          <t xml:space="preserve">Sliding window</t>
        </is>
      </c>
      <c r="E221" s="3" t="inlineStr">
        <is>
          <t xml:space="preserve">Not started</t>
        </is>
      </c>
      <c r="L221" s="2">
        <f>IF(F221="","",F221+1)</f>
      </c>
      <c r="M221" s="2">
        <f>IF(F221="","",F221+3)</f>
      </c>
      <c r="N221" s="2">
        <f>IF(F221="","",F221+7)</f>
      </c>
      <c r="O221" s="2">
        <f>IF(F221="","",F221+14)</f>
      </c>
    </row>
    <row r="222">
      <c r="A222" s="3">
        <v>113</v>
      </c>
      <c r="B222" s="4">
        <f>HYPERLINK("https://leetcode.com/problems/minimum-window-substring/","Minimum Window Substring (76)")</f>
      </c>
      <c r="C222" s="3" t="inlineStr">
        <is>
          <t xml:space="preserve">Hard</t>
        </is>
      </c>
      <c r="D222" s="3" t="inlineStr">
        <is>
          <t xml:space="preserve">Sliding window</t>
        </is>
      </c>
      <c r="E222" s="3" t="inlineStr">
        <is>
          <t xml:space="preserve">Not started</t>
        </is>
      </c>
      <c r="L222" s="2">
        <f>IF(F222="","",F222+1)</f>
      </c>
      <c r="M222" s="2">
        <f>IF(F222="","",F222+3)</f>
      </c>
      <c r="N222" s="2">
        <f>IF(F222="","",F222+7)</f>
      </c>
      <c r="O222" s="2">
        <f>IF(F222="","",F222+14)</f>
      </c>
    </row>
    <row r="223">
      <c r="A223" s="3">
        <v>114</v>
      </c>
      <c r="B223" s="4">
        <f>HYPERLINK("https://leetcode.com/problems/shortest-path-in-binary-matrix/","Shortest Path in Binary Matrix (1091)")</f>
      </c>
      <c r="C223" s="3" t="inlineStr">
        <is>
          <t xml:space="preserve">Medium</t>
        </is>
      </c>
      <c r="D223" s="3" t="inlineStr">
        <is>
          <t xml:space="preserve">Graphs</t>
        </is>
      </c>
      <c r="E223" s="3" t="inlineStr">
        <is>
          <t xml:space="preserve">Not started</t>
        </is>
      </c>
      <c r="L223" s="2">
        <f>IF(F223="","",F223+1)</f>
      </c>
      <c r="M223" s="2">
        <f>IF(F223="","",F223+3)</f>
      </c>
      <c r="N223" s="2">
        <f>IF(F223="","",F223+7)</f>
      </c>
      <c r="O223" s="2">
        <f>IF(F223="","",F223+14)</f>
      </c>
    </row>
    <row r="224">
      <c r="A224" s="3">
        <v>114</v>
      </c>
      <c r="B224" s="4">
        <f>HYPERLINK("https://leetcode.com/problems/copy-list-with-random-pointer/","Copy List with Random Pointer (138)")</f>
      </c>
      <c r="C224" s="3" t="inlineStr">
        <is>
          <t xml:space="preserve">Medium</t>
        </is>
      </c>
      <c r="D224" s="3" t="inlineStr">
        <is>
          <t xml:space="preserve">Linked lists</t>
        </is>
      </c>
      <c r="E224" s="3" t="inlineStr">
        <is>
          <t xml:space="preserve">Not started</t>
        </is>
      </c>
      <c r="L224" s="2">
        <f>IF(F224="","",F224+1)</f>
      </c>
      <c r="M224" s="2">
        <f>IF(F224="","",F224+3)</f>
      </c>
      <c r="N224" s="2">
        <f>IF(F224="","",F224+7)</f>
      </c>
      <c r="O224" s="2">
        <f>IF(F224="","",F224+14)</f>
      </c>
    </row>
    <row r="225">
      <c r="A225" s="3">
        <v>117</v>
      </c>
      <c r="B225" s="4">
        <f>HYPERLINK("https://leetcode.com/problems/construct-binary-tree-from-inorder-and-postorder-traversal/","Construct Binary Tree from Inorder and Postorder Traversal (106)")</f>
      </c>
      <c r="C225" s="3" t="inlineStr">
        <is>
          <t xml:space="preserve">Medium</t>
        </is>
      </c>
      <c r="D225" s="3" t="inlineStr">
        <is>
          <t xml:space="preserve">Trees</t>
        </is>
      </c>
      <c r="E225" s="3" t="inlineStr">
        <is>
          <t xml:space="preserve">Not started</t>
        </is>
      </c>
      <c r="L225" s="2">
        <f>IF(F225="","",F225+1)</f>
      </c>
      <c r="M225" s="2">
        <f>IF(F225="","",F225+3)</f>
      </c>
      <c r="N225" s="2">
        <f>IF(F225="","",F225+7)</f>
      </c>
      <c r="O225" s="2">
        <f>IF(F225="","",F225+14)</f>
      </c>
    </row>
    <row r="226">
      <c r="A226" s="3">
        <v>117</v>
      </c>
      <c r="B226" s="4">
        <f>HYPERLINK("https://leetcode.com/problems/shortest-common-supersequence/","Shortest Common Supersequence (1092)")</f>
      </c>
      <c r="C226" s="3" t="inlineStr">
        <is>
          <t xml:space="preserve">Hard</t>
        </is>
      </c>
      <c r="D226" s="3" t="inlineStr">
        <is>
          <t xml:space="preserve">DP</t>
        </is>
      </c>
      <c r="E226" s="3" t="inlineStr">
        <is>
          <t xml:space="preserve">Not started</t>
        </is>
      </c>
      <c r="L226" s="2">
        <f>IF(F226="","",F226+1)</f>
      </c>
      <c r="M226" s="2">
        <f>IF(F226="","",F226+3)</f>
      </c>
      <c r="N226" s="2">
        <f>IF(F226="","",F226+7)</f>
      </c>
      <c r="O226" s="2">
        <f>IF(F226="","",F226+14)</f>
      </c>
    </row>
    <row r="227">
      <c r="A227" s="3">
        <v>117</v>
      </c>
      <c r="B227" s="4">
        <f>HYPERLINK("https://leetcode.com/problems/palindrome-partitioning-ii/","Palindrome Partitioning II (132)")</f>
      </c>
      <c r="C227" s="3" t="inlineStr">
        <is>
          <t xml:space="preserve">Hard</t>
        </is>
      </c>
      <c r="D227" s="3" t="inlineStr">
        <is>
          <t xml:space="preserve">DP</t>
        </is>
      </c>
      <c r="E227" s="3" t="inlineStr">
        <is>
          <t xml:space="preserve">Not started</t>
        </is>
      </c>
      <c r="L227" s="2">
        <f>IF(F227="","",F227+1)</f>
      </c>
      <c r="M227" s="2">
        <f>IF(F227="","",F227+3)</f>
      </c>
      <c r="N227" s="2">
        <f>IF(F227="","",F227+7)</f>
      </c>
      <c r="O227" s="2">
        <f>IF(F227="","",F227+14)</f>
      </c>
    </row>
    <row r="228">
      <c r="A228" s="3">
        <v>117</v>
      </c>
      <c r="B228" s="4">
        <f>HYPERLINK("https://leetcode.com/problems/single-number-ii/","Single Number II (137)")</f>
      </c>
      <c r="C228" s="3" t="inlineStr">
        <is>
          <t xml:space="preserve">Medium</t>
        </is>
      </c>
      <c r="D228" s="3" t="inlineStr">
        <is>
          <t xml:space="preserve">Bits &amp; Math</t>
        </is>
      </c>
      <c r="E228" s="3" t="inlineStr">
        <is>
          <t xml:space="preserve">Not started</t>
        </is>
      </c>
      <c r="L228" s="2">
        <f>IF(F228="","",F228+1)</f>
      </c>
      <c r="M228" s="2">
        <f>IF(F228="","",F228+3)</f>
      </c>
      <c r="N228" s="2">
        <f>IF(F228="","",F228+7)</f>
      </c>
      <c r="O228" s="2">
        <f>IF(F228="","",F228+14)</f>
      </c>
    </row>
    <row r="229">
      <c r="A229" s="3">
        <v>117</v>
      </c>
      <c r="B229" s="4">
        <f>HYPERLINK("https://leetcode.com/problems/4sum/","4Sum (18)")</f>
      </c>
      <c r="C229" s="3" t="inlineStr">
        <is>
          <t xml:space="preserve">Medium</t>
        </is>
      </c>
      <c r="D229" s="3" t="inlineStr">
        <is>
          <t xml:space="preserve">Two pointers</t>
        </is>
      </c>
      <c r="E229" s="3" t="inlineStr">
        <is>
          <t xml:space="preserve">Not started</t>
        </is>
      </c>
      <c r="L229" s="2">
        <f>IF(F229="","",F229+1)</f>
      </c>
      <c r="M229" s="2">
        <f>IF(F229="","",F229+3)</f>
      </c>
      <c r="N229" s="2">
        <f>IF(F229="","",F229+7)</f>
      </c>
      <c r="O229" s="2">
        <f>IF(F229="","",F229+14)</f>
      </c>
    </row>
    <row r="230">
      <c r="A230" s="3">
        <v>117</v>
      </c>
      <c r="B230" s="4">
        <f>HYPERLINK("https://leetcode.com/problems/basic-calculator/","Basic Calculator (224)")</f>
      </c>
      <c r="C230" s="3" t="inlineStr">
        <is>
          <t xml:space="preserve">Hard</t>
        </is>
      </c>
      <c r="D230" s="3" t="inlineStr">
        <is>
          <t xml:space="preserve">Stack &amp; Queue</t>
        </is>
      </c>
      <c r="E230" s="3" t="inlineStr">
        <is>
          <t xml:space="preserve">Not started</t>
        </is>
      </c>
      <c r="L230" s="2">
        <f>IF(F230="","",F230+1)</f>
      </c>
      <c r="M230" s="2">
        <f>IF(F230="","",F230+3)</f>
      </c>
      <c r="N230" s="2">
        <f>IF(F230="","",F230+7)</f>
      </c>
      <c r="O230" s="2">
        <f>IF(F230="","",F230+14)</f>
      </c>
    </row>
    <row r="231">
      <c r="A231" s="3">
        <v>117</v>
      </c>
      <c r="B231" s="4">
        <f>HYPERLINK("https://leetcode.com/problems/reconstruct-itinerary/","Reconstruct Itinerary (332)")</f>
      </c>
      <c r="C231" s="3" t="inlineStr">
        <is>
          <t xml:space="preserve">Hard</t>
        </is>
      </c>
      <c r="D231" s="3" t="inlineStr">
        <is>
          <t xml:space="preserve">Graphs</t>
        </is>
      </c>
      <c r="E231" s="3" t="inlineStr">
        <is>
          <t xml:space="preserve">Not started</t>
        </is>
      </c>
      <c r="L231" s="2">
        <f>IF(F231="","",F231+1)</f>
      </c>
      <c r="M231" s="2">
        <f>IF(F231="","",F231+3)</f>
      </c>
      <c r="N231" s="2">
        <f>IF(F231="","",F231+7)</f>
      </c>
      <c r="O231" s="2">
        <f>IF(F231="","",F231+14)</f>
      </c>
    </row>
    <row r="232">
      <c r="A232" s="3">
        <v>117</v>
      </c>
      <c r="B232" s="4">
        <f>HYPERLINK("https://leetcode.com/problems/house-robber-iii/","House Robber III (337)")</f>
      </c>
      <c r="C232" s="3" t="inlineStr">
        <is>
          <t xml:space="preserve">Medium</t>
        </is>
      </c>
      <c r="D232" s="3" t="inlineStr">
        <is>
          <t xml:space="preserve">DP</t>
        </is>
      </c>
      <c r="E232" s="3" t="inlineStr">
        <is>
          <t xml:space="preserve">Not started</t>
        </is>
      </c>
      <c r="L232" s="2">
        <f>IF(F232="","",F232+1)</f>
      </c>
      <c r="M232" s="2">
        <f>IF(F232="","",F232+3)</f>
      </c>
      <c r="N232" s="2">
        <f>IF(F232="","",F232+7)</f>
      </c>
      <c r="O232" s="2">
        <f>IF(F232="","",F232+14)</f>
      </c>
    </row>
    <row r="233">
      <c r="A233" s="3">
        <v>117</v>
      </c>
      <c r="B233" s="4">
        <f>HYPERLINK("https://leetcode.com/problems/sudoku-solver/","Sudoku Solver (37)")</f>
      </c>
      <c r="C233" s="3" t="inlineStr">
        <is>
          <t xml:space="preserve">Hard</t>
        </is>
      </c>
      <c r="D233" s="3" t="inlineStr">
        <is>
          <t xml:space="preserve">Backtracking</t>
        </is>
      </c>
      <c r="E233" s="3" t="inlineStr">
        <is>
          <t xml:space="preserve">Not started</t>
        </is>
      </c>
      <c r="L233" s="2">
        <f>IF(F233="","",F233+1)</f>
      </c>
      <c r="M233" s="2">
        <f>IF(F233="","",F233+3)</f>
      </c>
      <c r="N233" s="2">
        <f>IF(F233="","",F233+7)</f>
      </c>
      <c r="O233" s="2">
        <f>IF(F233="","",F233+14)</f>
      </c>
    </row>
    <row r="234">
      <c r="A234" s="3">
        <v>117</v>
      </c>
      <c r="B234" s="4">
        <f>HYPERLINK("https://leetcode.com/problems/boundary-of-binary-tree/","Boundary of Binary Tree (545)")</f>
      </c>
      <c r="C234" s="3" t="inlineStr">
        <is>
          <t xml:space="preserve">Medium</t>
        </is>
      </c>
      <c r="D234" s="3" t="inlineStr">
        <is>
          <t xml:space="preserve">Trees</t>
        </is>
      </c>
      <c r="E234" s="3" t="inlineStr">
        <is>
          <t xml:space="preserve">Not started</t>
        </is>
      </c>
      <c r="L234" s="2">
        <f>IF(F234="","",F234+1)</f>
      </c>
      <c r="M234" s="2">
        <f>IF(F234="","",F234+3)</f>
      </c>
      <c r="N234" s="2">
        <f>IF(F234="","",F234+7)</f>
      </c>
      <c r="O234" s="2">
        <f>IF(F234="","",F234+14)</f>
      </c>
    </row>
    <row r="235">
      <c r="A235" s="3">
        <v>117</v>
      </c>
      <c r="B235" s="4">
        <f>HYPERLINK("https://leetcode.com/problems/cherry-pickup/","Cherry Pickup (741)")</f>
      </c>
      <c r="C235" s="3" t="inlineStr">
        <is>
          <t xml:space="preserve">Hard</t>
        </is>
      </c>
      <c r="D235" s="3" t="inlineStr">
        <is>
          <t xml:space="preserve">DP</t>
        </is>
      </c>
      <c r="E235" s="3" t="inlineStr">
        <is>
          <t xml:space="preserve">Not started</t>
        </is>
      </c>
      <c r="L235" s="2">
        <f>IF(F235="","",F235+1)</f>
      </c>
      <c r="M235" s="2">
        <f>IF(F235="","",F235+3)</f>
      </c>
      <c r="N235" s="2">
        <f>IF(F235="","",F235+7)</f>
      </c>
      <c r="O235" s="2">
        <f>IF(F235="","",F235+14)</f>
      </c>
    </row>
    <row r="236">
      <c r="A236" s="3">
        <v>117</v>
      </c>
      <c r="B236" s="4">
        <f>HYPERLINK("https://leetcode.com/problems/fruit-into-baskets/","Fruit Into Baskets (904)")</f>
      </c>
      <c r="C236" s="3" t="inlineStr">
        <is>
          <t xml:space="preserve">Medium</t>
        </is>
      </c>
      <c r="D236" s="3" t="inlineStr">
        <is>
          <t xml:space="preserve">Sliding window</t>
        </is>
      </c>
      <c r="E236" s="3" t="inlineStr">
        <is>
          <t xml:space="preserve">Not started</t>
        </is>
      </c>
      <c r="L236" s="2">
        <f>IF(F236="","",F236+1)</f>
      </c>
      <c r="M236" s="2">
        <f>IF(F236="","",F236+3)</f>
      </c>
      <c r="N236" s="2">
        <f>IF(F236="","",F236+7)</f>
      </c>
      <c r="O236" s="2">
        <f>IF(F236="","",F236+14)</f>
      </c>
    </row>
    <row r="237">
      <c r="A237" s="3">
        <v>117</v>
      </c>
      <c r="B237" s="4">
        <f>HYPERLINK("https://leetcode.com/problems/maximum-sum-circular-subarray/","Maximum Sum Circular Subarray (918)")</f>
      </c>
      <c r="C237" s="3" t="inlineStr">
        <is>
          <t xml:space="preserve">Medium</t>
        </is>
      </c>
      <c r="D237" s="3" t="inlineStr">
        <is>
          <t xml:space="preserve">Arrays</t>
        </is>
      </c>
      <c r="E237" s="3" t="inlineStr">
        <is>
          <t xml:space="preserve">Not started</t>
        </is>
      </c>
      <c r="L237" s="2">
        <f>IF(F237="","",F237+1)</f>
      </c>
      <c r="M237" s="2">
        <f>IF(F237="","",F237+3)</f>
      </c>
      <c r="N237" s="2">
        <f>IF(F237="","",F237+7)</f>
      </c>
      <c r="O237" s="2">
        <f>IF(F237="","",F237+14)</f>
      </c>
    </row>
    <row r="238">
      <c r="A238" s="3">
        <v>117</v>
      </c>
      <c r="B238" s="4">
        <f>HYPERLINK("PROBLEMS.md#x-2d-basics","Matrix: row/column sums, transpose, rectangular vs jagged arrays")</f>
      </c>
      <c r="C238" s="3" t="inlineStr">
        <is>
          <t xml:space="preserve">Custom</t>
        </is>
      </c>
      <c r="D238" s="3" t="inlineStr">
        <is>
          <t xml:space="preserve">Matrix</t>
        </is>
      </c>
      <c r="E238" s="3" t="inlineStr">
        <is>
          <t xml:space="preserve">Not started</t>
        </is>
      </c>
      <c r="L238" s="2">
        <f>IF(F238="","",F238+1)</f>
      </c>
      <c r="M238" s="2">
        <f>IF(F238="","",F238+3)</f>
      </c>
      <c r="N238" s="2">
        <f>IF(F238="","",F238+7)</f>
      </c>
      <c r="O238" s="2">
        <f>IF(F238="","",F238+14)</f>
      </c>
    </row>
    <row r="239">
      <c r="A239" s="3">
        <v>117</v>
      </c>
      <c r="B239" s="4">
        <f>HYPERLINK("PROBLEMS.md#x-counting-radix","Counting sort and radix sort for bounded integers")</f>
      </c>
      <c r="C239" s="3" t="inlineStr">
        <is>
          <t xml:space="preserve">Custom</t>
        </is>
      </c>
      <c r="D239" s="3" t="inlineStr">
        <is>
          <t xml:space="preserve">Sorting</t>
        </is>
      </c>
      <c r="E239" s="3" t="inlineStr">
        <is>
          <t xml:space="preserve">Not started</t>
        </is>
      </c>
      <c r="L239" s="2">
        <f>IF(F239="","",F239+1)</f>
      </c>
      <c r="M239" s="2">
        <f>IF(F239="","",F239+3)</f>
      </c>
      <c r="N239" s="2">
        <f>IF(F239="","",F239+7)</f>
      </c>
      <c r="O239" s="2">
        <f>IF(F239="","",F239+14)</f>
      </c>
    </row>
    <row r="240">
      <c r="A240" s="3">
        <v>117</v>
      </c>
      <c r="B240" s="4">
        <f>HYPERLINK("PROBLEMS.md#x-infix-postfix","Infix to postfix (shunting-yard) and evaluate")</f>
      </c>
      <c r="C240" s="3" t="inlineStr">
        <is>
          <t xml:space="preserve">Custom</t>
        </is>
      </c>
      <c r="D240" s="3" t="inlineStr">
        <is>
          <t xml:space="preserve">Stack &amp; Queue</t>
        </is>
      </c>
      <c r="E240" s="3" t="inlineStr">
        <is>
          <t xml:space="preserve">Not started</t>
        </is>
      </c>
      <c r="L240" s="2">
        <f>IF(F240="","",F240+1)</f>
      </c>
      <c r="M240" s="2">
        <f>IF(F240="","",F240+3)</f>
      </c>
      <c r="N240" s="2">
        <f>IF(F240="","",F240+7)</f>
      </c>
      <c r="O240" s="2">
        <f>IF(F240="","",F240+14)</f>
      </c>
    </row>
    <row r="241">
      <c r="A241" s="3">
        <v>117</v>
      </c>
      <c r="B241" s="4">
        <f>HYPERLINK("PROBLEMS.md#x-rat-maze","Rat in a maze (grid backtracking, all paths)")</f>
      </c>
      <c r="C241" s="3" t="inlineStr">
        <is>
          <t xml:space="preserve">Custom</t>
        </is>
      </c>
      <c r="D241" s="3" t="inlineStr">
        <is>
          <t xml:space="preserve">Backtracking</t>
        </is>
      </c>
      <c r="E241" s="3" t="inlineStr">
        <is>
          <t xml:space="preserve">Not started</t>
        </is>
      </c>
      <c r="L241" s="2">
        <f>IF(F241="","",F241+1)</f>
      </c>
      <c r="M241" s="2">
        <f>IF(F241="","",F241+3)</f>
      </c>
      <c r="N241" s="2">
        <f>IF(F241="","",F241+7)</f>
      </c>
      <c r="O241" s="2">
        <f>IF(F241="","",F241+14)</f>
      </c>
    </row>
    <row r="242">
      <c r="A242" s="3">
        <v>117</v>
      </c>
      <c r="B242" s="4">
        <f>HYPERLINK("PROBLEMS.md#x-rod-cutting","Rod cutting (unbounded knapsack)")</f>
      </c>
      <c r="C242" s="3" t="inlineStr">
        <is>
          <t xml:space="preserve">Custom</t>
        </is>
      </c>
      <c r="D242" s="3" t="inlineStr">
        <is>
          <t xml:space="preserve">DP</t>
        </is>
      </c>
      <c r="E242" s="3" t="inlineStr">
        <is>
          <t xml:space="preserve">Not started</t>
        </is>
      </c>
      <c r="L242" s="2">
        <f>IF(F242="","",F242+1)</f>
      </c>
      <c r="M242" s="2">
        <f>IF(F242="","",F242+3)</f>
      </c>
      <c r="N242" s="2">
        <f>IF(F242="","",F242+7)</f>
      </c>
      <c r="O242" s="2">
        <f>IF(F242="","",F242+14)</f>
      </c>
    </row>
    <row r="243">
      <c r="A243" s="3">
        <v>117</v>
      </c>
      <c r="B243" s="4">
        <f>HYPERLINK("PROBLEMS.md#x-tree-views","Tree views: left, right, top, bottom view")</f>
      </c>
      <c r="C243" s="3" t="inlineStr">
        <is>
          <t xml:space="preserve">Custom</t>
        </is>
      </c>
      <c r="D243" s="3" t="inlineStr">
        <is>
          <t xml:space="preserve">Trees</t>
        </is>
      </c>
      <c r="E243" s="3" t="inlineStr">
        <is>
          <t xml:space="preserve">Not started</t>
        </is>
      </c>
      <c r="L243" s="2">
        <f>IF(F243="","",F243+1)</f>
      </c>
      <c r="M243" s="2">
        <f>IF(F243="","",F243+3)</f>
      </c>
      <c r="N243" s="2">
        <f>IF(F243="","",F243+7)</f>
      </c>
      <c r="O243" s="2">
        <f>IF(F243="","",F243+14)</f>
      </c>
    </row>
    <row r="244">
      <c r="A244" s="3">
        <v>118</v>
      </c>
      <c r="B244" s="4">
        <f>HYPERLINK("https://leetcode.com/problems/valid-sudoku/","Valid Sudoku (36)")</f>
      </c>
      <c r="C244" s="3" t="inlineStr">
        <is>
          <t xml:space="preserve">Medium</t>
        </is>
      </c>
      <c r="D244" s="3" t="inlineStr">
        <is>
          <t xml:space="preserve">Hashing</t>
        </is>
      </c>
      <c r="E244" s="3" t="inlineStr">
        <is>
          <t xml:space="preserve">Not started</t>
        </is>
      </c>
      <c r="L244" s="2">
        <f>IF(F244="","",F244+1)</f>
      </c>
      <c r="M244" s="2">
        <f>IF(F244="","",F244+3)</f>
      </c>
      <c r="N244" s="2">
        <f>IF(F244="","",F244+7)</f>
      </c>
      <c r="O244" s="2">
        <f>IF(F244="","",F244+14)</f>
      </c>
    </row>
    <row r="245">
      <c r="A245" s="3">
        <v>118</v>
      </c>
      <c r="B245" s="4">
        <f>HYPERLINK("https://leetcode.com/problems/rotate-image/","Rotate Image (48)")</f>
      </c>
      <c r="C245" s="3" t="inlineStr">
        <is>
          <t xml:space="preserve">Medium</t>
        </is>
      </c>
      <c r="D245" s="3" t="inlineStr">
        <is>
          <t xml:space="preserve">Matrix</t>
        </is>
      </c>
      <c r="E245" s="3" t="inlineStr">
        <is>
          <t xml:space="preserve">Not started</t>
        </is>
      </c>
      <c r="L245" s="2">
        <f>IF(F245="","",F245+1)</f>
      </c>
      <c r="M245" s="2">
        <f>IF(F245="","",F245+3)</f>
      </c>
      <c r="N245" s="2">
        <f>IF(F245="","",F245+7)</f>
      </c>
      <c r="O245" s="2">
        <f>IF(F245="","",F245+14)</f>
      </c>
    </row>
    <row r="246">
      <c r="A246" s="3">
        <v>118</v>
      </c>
      <c r="B246" s="4">
        <f>HYPERLINK("https://leetcode.com/problems/spiral-matrix/","Spiral Matrix (54)")</f>
      </c>
      <c r="C246" s="3" t="inlineStr">
        <is>
          <t xml:space="preserve">Medium</t>
        </is>
      </c>
      <c r="D246" s="3" t="inlineStr">
        <is>
          <t xml:space="preserve">Matrix</t>
        </is>
      </c>
      <c r="E246" s="3" t="inlineStr">
        <is>
          <t xml:space="preserve">Not started</t>
        </is>
      </c>
      <c r="L246" s="2">
        <f>IF(F246="","",F246+1)</f>
      </c>
      <c r="M246" s="2">
        <f>IF(F246="","",F246+3)</f>
      </c>
      <c r="N246" s="2">
        <f>IF(F246="","",F246+7)</f>
      </c>
      <c r="O246" s="2">
        <f>IF(F246="","",F246+14)</f>
      </c>
    </row>
    <row r="247">
      <c r="A247" s="3">
        <v>118</v>
      </c>
      <c r="B247" s="4">
        <f>HYPERLINK("https://leetcode.com/problems/set-matrix-zeroes/","Set Matrix Zeroes (73)")</f>
      </c>
      <c r="C247" s="3" t="inlineStr">
        <is>
          <t xml:space="preserve">Medium</t>
        </is>
      </c>
      <c r="D247" s="3" t="inlineStr">
        <is>
          <t xml:space="preserve">Matrix</t>
        </is>
      </c>
      <c r="E247" s="3" t="inlineStr">
        <is>
          <t xml:space="preserve">Not started</t>
        </is>
      </c>
      <c r="L247" s="2">
        <f>IF(F247="","",F247+1)</f>
      </c>
      <c r="M247" s="2">
        <f>IF(F247="","",F247+3)</f>
      </c>
      <c r="N247" s="2">
        <f>IF(F247="","",F247+7)</f>
      </c>
      <c r="O247" s="2">
        <f>IF(F247="","",F247+14)</f>
      </c>
    </row>
    <row r="248">
      <c r="A248" s="3">
        <v>120</v>
      </c>
      <c r="B248" s="4">
        <f>HYPERLINK("https://leetcode.com/problems/find-peak-element/","Find Peak Element (162)")</f>
      </c>
      <c r="C248" s="3" t="inlineStr">
        <is>
          <t xml:space="preserve">Medium</t>
        </is>
      </c>
      <c r="D248" s="3" t="inlineStr">
        <is>
          <t xml:space="preserve">Binary search</t>
        </is>
      </c>
      <c r="E248" s="3" t="inlineStr">
        <is>
          <t xml:space="preserve">Not started</t>
        </is>
      </c>
      <c r="L248" s="2">
        <f>IF(F248="","",F248+1)</f>
      </c>
      <c r="M248" s="2">
        <f>IF(F248="","",F248+3)</f>
      </c>
      <c r="N248" s="2">
        <f>IF(F248="","",F248+7)</f>
      </c>
      <c r="O248" s="2">
        <f>IF(F248="","",F248+14)</f>
      </c>
    </row>
    <row r="249">
      <c r="A249" s="3">
        <v>120</v>
      </c>
      <c r="B249" s="4">
        <f>HYPERLINK("https://leetcode.com/problems/time-based-key-value-store/","Time Based Key-Value Store (981)")</f>
      </c>
      <c r="C249" s="3" t="inlineStr">
        <is>
          <t xml:space="preserve">Medium</t>
        </is>
      </c>
      <c r="D249" s="3" t="inlineStr">
        <is>
          <t xml:space="preserve">Binary search</t>
        </is>
      </c>
      <c r="E249" s="3" t="inlineStr">
        <is>
          <t xml:space="preserve">Not started</t>
        </is>
      </c>
      <c r="L249" s="2">
        <f>IF(F249="","",F249+1)</f>
      </c>
      <c r="M249" s="2">
        <f>IF(F249="","",F249+3)</f>
      </c>
      <c r="N249" s="2">
        <f>IF(F249="","",F249+7)</f>
      </c>
      <c r="O249" s="2">
        <f>IF(F249="","",F249+14)</f>
      </c>
    </row>
    <row r="250">
      <c r="A250" s="3">
        <v>121</v>
      </c>
      <c r="B250" s="4">
        <f>HYPERLINK("https://leetcode.com/problems/search-a-2d-matrix-ii/","Search a 2D Matrix II (240)")</f>
      </c>
      <c r="C250" s="3" t="inlineStr">
        <is>
          <t xml:space="preserve">Medium</t>
        </is>
      </c>
      <c r="D250" s="3" t="inlineStr">
        <is>
          <t xml:space="preserve">Binary search</t>
        </is>
      </c>
      <c r="E250" s="3" t="inlineStr">
        <is>
          <t xml:space="preserve">Not started</t>
        </is>
      </c>
      <c r="L250" s="2">
        <f>IF(F250="","",F250+1)</f>
      </c>
      <c r="M250" s="2">
        <f>IF(F250="","",F250+3)</f>
      </c>
      <c r="N250" s="2">
        <f>IF(F250="","",F250+7)</f>
      </c>
      <c r="O250" s="2">
        <f>IF(F250="","",F250+14)</f>
      </c>
    </row>
    <row r="251">
      <c r="A251" s="3">
        <v>121</v>
      </c>
      <c r="B251" s="4">
        <f>HYPERLINK("https://leetcode.com/problems/kth-smallest-element-in-a-sorted-matrix/","Kth Smallest Element in a Sorted Matrix (378)")</f>
      </c>
      <c r="C251" s="3" t="inlineStr">
        <is>
          <t xml:space="preserve">Medium</t>
        </is>
      </c>
      <c r="D251" s="3" t="inlineStr">
        <is>
          <t xml:space="preserve">Heaps</t>
        </is>
      </c>
      <c r="E251" s="3" t="inlineStr">
        <is>
          <t xml:space="preserve">Not started</t>
        </is>
      </c>
      <c r="L251" s="2">
        <f>IF(F251="","",F251+1)</f>
      </c>
      <c r="M251" s="2">
        <f>IF(F251="","",F251+3)</f>
      </c>
      <c r="N251" s="2">
        <f>IF(F251="","",F251+7)</f>
      </c>
      <c r="O251" s="2">
        <f>IF(F251="","",F251+14)</f>
      </c>
    </row>
    <row r="252">
      <c r="A252" s="3">
        <v>122</v>
      </c>
      <c r="B252" s="4">
        <f>HYPERLINK("https://leetcode.com/problems/binary-tree-zigzag-level-order-traversal/","Binary Tree Zigzag Level Order Traversal (103)")</f>
      </c>
      <c r="C252" s="3" t="inlineStr">
        <is>
          <t xml:space="preserve">Medium</t>
        </is>
      </c>
      <c r="D252" s="3" t="inlineStr">
        <is>
          <t xml:space="preserve">Trees</t>
        </is>
      </c>
      <c r="E252" s="3" t="inlineStr">
        <is>
          <t xml:space="preserve">Not started</t>
        </is>
      </c>
      <c r="L252" s="2">
        <f>IF(F252="","",F252+1)</f>
      </c>
      <c r="M252" s="2">
        <f>IF(F252="","",F252+3)</f>
      </c>
      <c r="N252" s="2">
        <f>IF(F252="","",F252+7)</f>
      </c>
      <c r="O252" s="2">
        <f>IF(F252="","",F252+14)</f>
      </c>
    </row>
    <row r="253">
      <c r="A253" s="3">
        <v>122</v>
      </c>
      <c r="B253" s="4">
        <f>HYPERLINK("https://leetcode.com/problems/populating-next-right-pointers-in-each-node/","Populating Next Right Pointers in Each Node (116)")</f>
      </c>
      <c r="C253" s="3" t="inlineStr">
        <is>
          <t xml:space="preserve">Medium</t>
        </is>
      </c>
      <c r="D253" s="3" t="inlineStr">
        <is>
          <t xml:space="preserve">Trees</t>
        </is>
      </c>
      <c r="E253" s="3" t="inlineStr">
        <is>
          <t xml:space="preserve">Not started</t>
        </is>
      </c>
      <c r="L253" s="2">
        <f>IF(F253="","",F253+1)</f>
      </c>
      <c r="M253" s="2">
        <f>IF(F253="","",F253+3)</f>
      </c>
      <c r="N253" s="2">
        <f>IF(F253="","",F253+7)</f>
      </c>
      <c r="O253" s="2">
        <f>IF(F253="","",F253+14)</f>
      </c>
    </row>
    <row r="254">
      <c r="A254" s="3">
        <v>123</v>
      </c>
      <c r="B254" s="4">
        <f>HYPERLINK("https://leetcode.com/problems/sum-root-to-leaf-numbers/","Sum Root to Leaf Numbers (129)")</f>
      </c>
      <c r="C254" s="3" t="inlineStr">
        <is>
          <t xml:space="preserve">Medium</t>
        </is>
      </c>
      <c r="D254" s="3" t="inlineStr">
        <is>
          <t xml:space="preserve">Trees</t>
        </is>
      </c>
      <c r="E254" s="3" t="inlineStr">
        <is>
          <t xml:space="preserve">Not started</t>
        </is>
      </c>
      <c r="L254" s="2">
        <f>IF(F254="","",F254+1)</f>
      </c>
      <c r="M254" s="2">
        <f>IF(F254="","",F254+3)</f>
      </c>
      <c r="N254" s="2">
        <f>IF(F254="","",F254+7)</f>
      </c>
      <c r="O254" s="2">
        <f>IF(F254="","",F254+14)</f>
      </c>
    </row>
    <row r="255">
      <c r="A255" s="3">
        <v>124</v>
      </c>
      <c r="B255" s="4">
        <f>HYPERLINK("https://leetcode.com/problems/flatten-binary-tree-to-linked-list/","Flatten Binary Tree to Linked List (114)")</f>
      </c>
      <c r="C255" s="3" t="inlineStr">
        <is>
          <t xml:space="preserve">Medium</t>
        </is>
      </c>
      <c r="D255" s="3" t="inlineStr">
        <is>
          <t xml:space="preserve">Trees</t>
        </is>
      </c>
      <c r="E255" s="3" t="inlineStr">
        <is>
          <t xml:space="preserve">Not started</t>
        </is>
      </c>
      <c r="L255" s="2">
        <f>IF(F255="","",F255+1)</f>
      </c>
      <c r="M255" s="2">
        <f>IF(F255="","",F255+3)</f>
      </c>
      <c r="N255" s="2">
        <f>IF(F255="","",F255+7)</f>
      </c>
      <c r="O255" s="2">
        <f>IF(F255="","",F255+14)</f>
      </c>
    </row>
    <row r="256">
      <c r="A256" s="3">
        <v>125</v>
      </c>
      <c r="B256" s="4">
        <f>HYPERLINK("https://leetcode.com/problems/path-sum-ii/","Path Sum II (113)")</f>
      </c>
      <c r="C256" s="3" t="inlineStr">
        <is>
          <t xml:space="preserve">Medium</t>
        </is>
      </c>
      <c r="D256" s="3" t="inlineStr">
        <is>
          <t xml:space="preserve">Trees</t>
        </is>
      </c>
      <c r="E256" s="3" t="inlineStr">
        <is>
          <t xml:space="preserve">Not started</t>
        </is>
      </c>
      <c r="L256" s="2">
        <f>IF(F256="","",F256+1)</f>
      </c>
      <c r="M256" s="2">
        <f>IF(F256="","",F256+3)</f>
      </c>
      <c r="N256" s="2">
        <f>IF(F256="","",F256+7)</f>
      </c>
      <c r="O256" s="2">
        <f>IF(F256="","",F256+14)</f>
      </c>
    </row>
    <row r="257">
      <c r="A257" s="3">
        <v>125</v>
      </c>
      <c r="B257" s="4">
        <f>HYPERLINK("https://leetcode.com/problems/reverse-nodes-in-k-group/","Reverse Nodes in k-Group (25)")</f>
      </c>
      <c r="C257" s="3" t="inlineStr">
        <is>
          <t xml:space="preserve">Hard</t>
        </is>
      </c>
      <c r="D257" s="3" t="inlineStr">
        <is>
          <t xml:space="preserve">Linked lists</t>
        </is>
      </c>
      <c r="E257" s="3" t="inlineStr">
        <is>
          <t xml:space="preserve">Not started</t>
        </is>
      </c>
      <c r="L257" s="2">
        <f>IF(F257="","",F257+1)</f>
      </c>
      <c r="M257" s="2">
        <f>IF(F257="","",F257+3)</f>
      </c>
      <c r="N257" s="2">
        <f>IF(F257="","",F257+7)</f>
      </c>
      <c r="O257" s="2">
        <f>IF(F257="","",F257+14)</f>
      </c>
    </row>
    <row r="258">
      <c r="A258" s="3">
        <v>127</v>
      </c>
      <c r="B258" s="4">
        <f>HYPERLINK("https://leetcode.com/problems/split-array-largest-sum/","Split Array Largest Sum (410)")</f>
      </c>
      <c r="C258" s="3" t="inlineStr">
        <is>
          <t xml:space="preserve">Hard</t>
        </is>
      </c>
      <c r="D258" s="3" t="inlineStr">
        <is>
          <t xml:space="preserve">Binary search on answer</t>
        </is>
      </c>
      <c r="E258" s="3" t="inlineStr">
        <is>
          <t xml:space="preserve">Not started</t>
        </is>
      </c>
      <c r="L258" s="2">
        <f>IF(F258="","",F258+1)</f>
      </c>
      <c r="M258" s="2">
        <f>IF(F258="","",F258+3)</f>
      </c>
      <c r="N258" s="2">
        <f>IF(F258="","",F258+7)</f>
      </c>
      <c r="O258" s="2">
        <f>IF(F258="","",F258+14)</f>
      </c>
    </row>
    <row r="259">
      <c r="A259" s="3">
        <v>128</v>
      </c>
      <c r="B259" s="4">
        <f>HYPERLINK("https://leetcode.com/problems/binary-tree-maximum-path-sum/","Binary Tree Maximum Path Sum (124)")</f>
      </c>
      <c r="C259" s="3" t="inlineStr">
        <is>
          <t xml:space="preserve">Hard</t>
        </is>
      </c>
      <c r="D259" s="3" t="inlineStr">
        <is>
          <t xml:space="preserve">Trees</t>
        </is>
      </c>
      <c r="E259" s="3" t="inlineStr">
        <is>
          <t xml:space="preserve">Not started</t>
        </is>
      </c>
      <c r="L259" s="2">
        <f>IF(F259="","",F259+1)</f>
      </c>
      <c r="M259" s="2">
        <f>IF(F259="","",F259+3)</f>
      </c>
      <c r="N259" s="2">
        <f>IF(F259="","",F259+7)</f>
      </c>
      <c r="O259" s="2">
        <f>IF(F259="","",F259+14)</f>
      </c>
    </row>
    <row r="260">
      <c r="A260" s="3">
        <v>128</v>
      </c>
      <c r="B260" s="4">
        <f>HYPERLINK("https://leetcode.com/problems/serialize-and-deserialize-binary-tree/","Serialize and Deserialize Binary Tree (297)")</f>
      </c>
      <c r="C260" s="3" t="inlineStr">
        <is>
          <t xml:space="preserve">Hard</t>
        </is>
      </c>
      <c r="D260" s="3" t="inlineStr">
        <is>
          <t xml:space="preserve">Trees</t>
        </is>
      </c>
      <c r="E260" s="3" t="inlineStr">
        <is>
          <t xml:space="preserve">Not started</t>
        </is>
      </c>
      <c r="L260" s="2">
        <f>IF(F260="","",F260+1)</f>
      </c>
      <c r="M260" s="2">
        <f>IF(F260="","",F260+3)</f>
      </c>
      <c r="N260" s="2">
        <f>IF(F260="","",F260+7)</f>
      </c>
      <c r="O260" s="2">
        <f>IF(F260="","",F260+14)</f>
      </c>
    </row>
    <row r="261">
      <c r="A261" s="3">
        <v>129</v>
      </c>
      <c r="B261" s="4">
        <f>HYPERLINK("https://leetcode.com/problems/evaluate-division/","Evaluate Division (399)")</f>
      </c>
      <c r="C261" s="3" t="inlineStr">
        <is>
          <t xml:space="preserve">Medium</t>
        </is>
      </c>
      <c r="D261" s="3" t="inlineStr">
        <is>
          <t xml:space="preserve">Graphs</t>
        </is>
      </c>
      <c r="E261" s="3" t="inlineStr">
        <is>
          <t xml:space="preserve">Not started</t>
        </is>
      </c>
      <c r="L261" s="2">
        <f>IF(F261="","",F261+1)</f>
      </c>
      <c r="M261" s="2">
        <f>IF(F261="","",F261+3)</f>
      </c>
      <c r="N261" s="2">
        <f>IF(F261="","",F261+7)</f>
      </c>
      <c r="O261" s="2">
        <f>IF(F261="","",F261+14)</f>
      </c>
    </row>
    <row r="262">
      <c r="A262" s="3">
        <v>129</v>
      </c>
      <c r="B262" s="4">
        <f>HYPERLINK("https://leetcode.com/problems/swim-in-rising-water/","Swim in Rising Water (778)")</f>
      </c>
      <c r="C262" s="3" t="inlineStr">
        <is>
          <t xml:space="preserve">Hard</t>
        </is>
      </c>
      <c r="D262" s="3" t="inlineStr">
        <is>
          <t xml:space="preserve">Shortest paths</t>
        </is>
      </c>
      <c r="E262" s="3" t="inlineStr">
        <is>
          <t xml:space="preserve">Not started</t>
        </is>
      </c>
      <c r="L262" s="2">
        <f>IF(F262="","",F262+1)</f>
      </c>
      <c r="M262" s="2">
        <f>IF(F262="","",F262+3)</f>
      </c>
      <c r="N262" s="2">
        <f>IF(F262="","",F262+7)</f>
      </c>
      <c r="O262" s="2">
        <f>IF(F262="","",F262+14)</f>
      </c>
    </row>
    <row r="263">
      <c r="A263" s="3">
        <v>130</v>
      </c>
      <c r="B263" s="4">
        <f>HYPERLINK("https://leetcode.com/problems/longest-increasing-path-in-a-matrix/","Longest Increasing Path in a Matrix (329)")</f>
      </c>
      <c r="C263" s="3" t="inlineStr">
        <is>
          <t xml:space="preserve">Hard</t>
        </is>
      </c>
      <c r="D263" s="3" t="inlineStr">
        <is>
          <t xml:space="preserve">Graphs</t>
        </is>
      </c>
      <c r="E263" s="3" t="inlineStr">
        <is>
          <t xml:space="preserve">Not started</t>
        </is>
      </c>
      <c r="L263" s="2">
        <f>IF(F263="","",F263+1)</f>
      </c>
      <c r="M263" s="2">
        <f>IF(F263="","",F263+3)</f>
      </c>
      <c r="N263" s="2">
        <f>IF(F263="","",F263+7)</f>
      </c>
      <c r="O263" s="2">
        <f>IF(F263="","",F263+14)</f>
      </c>
    </row>
    <row r="264">
      <c r="A264" s="3">
        <v>132</v>
      </c>
      <c r="B264" s="4">
        <f>HYPERLINK("https://leetcode.com/problems/critical-connections-in-a-network/","Critical Connections in a Network (1192)")</f>
      </c>
      <c r="C264" s="3" t="inlineStr">
        <is>
          <t xml:space="preserve">Hard</t>
        </is>
      </c>
      <c r="D264" s="3" t="inlineStr">
        <is>
          <t xml:space="preserve">Graphs</t>
        </is>
      </c>
      <c r="E264" s="3" t="inlineStr">
        <is>
          <t xml:space="preserve">Not started</t>
        </is>
      </c>
      <c r="L264" s="2">
        <f>IF(F264="","",F264+1)</f>
      </c>
      <c r="M264" s="2">
        <f>IF(F264="","",F264+3)</f>
      </c>
      <c r="N264" s="2">
        <f>IF(F264="","",F264+7)</f>
      </c>
      <c r="O264" s="2">
        <f>IF(F264="","",F264+14)</f>
      </c>
    </row>
    <row r="265">
      <c r="A265" s="3">
        <v>132</v>
      </c>
      <c r="B265" s="4">
        <f>HYPERLINK("https://leetcode.com/problems/find-the-city-with-the-smallest-number-of-neighbors-at-a-threshold-distance/","Find the City With the Smallest Number of Neighbors at a Threshold Distance (1334)")</f>
      </c>
      <c r="C265" s="3" t="inlineStr">
        <is>
          <t xml:space="preserve">Medium</t>
        </is>
      </c>
      <c r="D265" s="3" t="inlineStr">
        <is>
          <t xml:space="preserve">Shortest paths</t>
        </is>
      </c>
      <c r="E265" s="3" t="inlineStr">
        <is>
          <t xml:space="preserve">Not started</t>
        </is>
      </c>
      <c r="L265" s="2">
        <f>IF(F265="","",F265+1)</f>
      </c>
      <c r="M265" s="2">
        <f>IF(F265="","",F265+3)</f>
      </c>
      <c r="N265" s="2">
        <f>IF(F265="","",F265+7)</f>
      </c>
      <c r="O265" s="2">
        <f>IF(F265="","",F265+14)</f>
      </c>
    </row>
    <row r="266">
      <c r="A266" s="3">
        <v>132</v>
      </c>
      <c r="B266" s="4">
        <f>HYPERLINK("PROBLEMS.md#x-bellman-ford","Implement Bellman-Ford with negative-cycle detection")</f>
      </c>
      <c r="C266" s="3" t="inlineStr">
        <is>
          <t xml:space="preserve">Custom</t>
        </is>
      </c>
      <c r="D266" s="3" t="inlineStr">
        <is>
          <t xml:space="preserve">Shortest paths</t>
        </is>
      </c>
      <c r="E266" s="3" t="inlineStr">
        <is>
          <t xml:space="preserve">Not started</t>
        </is>
      </c>
      <c r="L266" s="2">
        <f>IF(F266="","",F266+1)</f>
      </c>
      <c r="M266" s="2">
        <f>IF(F266="","",F266+3)</f>
      </c>
      <c r="N266" s="2">
        <f>IF(F266="","",F266+7)</f>
      </c>
      <c r="O266" s="2">
        <f>IF(F266="","",F266+14)</f>
      </c>
    </row>
    <row r="267">
      <c r="A267" s="3">
        <v>134</v>
      </c>
      <c r="B267" s="4">
        <f>HYPERLINK("https://leetcode.com/problems/asteroid-collision/","Asteroid Collision (735)")</f>
      </c>
      <c r="C267" s="3" t="inlineStr">
        <is>
          <t xml:space="preserve">Medium</t>
        </is>
      </c>
      <c r="D267" s="3" t="inlineStr">
        <is>
          <t xml:space="preserve">Stack &amp; Queue</t>
        </is>
      </c>
      <c r="E267" s="3" t="inlineStr">
        <is>
          <t xml:space="preserve">Not started</t>
        </is>
      </c>
      <c r="L267" s="2">
        <f>IF(F267="","",F267+1)</f>
      </c>
      <c r="M267" s="2">
        <f>IF(F267="","",F267+3)</f>
      </c>
      <c r="N267" s="2">
        <f>IF(F267="","",F267+7)</f>
      </c>
      <c r="O267" s="2">
        <f>IF(F267="","",F267+14)</f>
      </c>
    </row>
    <row r="268">
      <c r="A268" s="3">
        <v>134</v>
      </c>
      <c r="B268" s="4">
        <f>HYPERLINK("https://leetcode.com/problems/car-fleet/","Car Fleet (853)")</f>
      </c>
      <c r="C268" s="3" t="inlineStr">
        <is>
          <t xml:space="preserve">Medium</t>
        </is>
      </c>
      <c r="D268" s="3" t="inlineStr">
        <is>
          <t xml:space="preserve">Stack &amp; Queue</t>
        </is>
      </c>
      <c r="E268" s="3" t="inlineStr">
        <is>
          <t xml:space="preserve">Not started</t>
        </is>
      </c>
      <c r="L268" s="2">
        <f>IF(F268="","",F268+1)</f>
      </c>
      <c r="M268" s="2">
        <f>IF(F268="","",F268+3)</f>
      </c>
      <c r="N268" s="2">
        <f>IF(F268="","",F268+7)</f>
      </c>
      <c r="O268" s="2">
        <f>IF(F268="","",F268+14)</f>
      </c>
    </row>
    <row r="269">
      <c r="A269" s="3">
        <v>135</v>
      </c>
      <c r="B269" s="4">
        <f>HYPERLINK("https://leetcode.com/problems/basic-calculator-ii/","Basic Calculator II (227)")</f>
      </c>
      <c r="C269" s="3" t="inlineStr">
        <is>
          <t xml:space="preserve">Medium</t>
        </is>
      </c>
      <c r="D269" s="3" t="inlineStr">
        <is>
          <t xml:space="preserve">Stack &amp; Queue</t>
        </is>
      </c>
      <c r="E269" s="3" t="inlineStr">
        <is>
          <t xml:space="preserve">Not started</t>
        </is>
      </c>
      <c r="L269" s="2">
        <f>IF(F269="","",F269+1)</f>
      </c>
      <c r="M269" s="2">
        <f>IF(F269="","",F269+3)</f>
      </c>
      <c r="N269" s="2">
        <f>IF(F269="","",F269+7)</f>
      </c>
      <c r="O269" s="2">
        <f>IF(F269="","",F269+14)</f>
      </c>
    </row>
    <row r="270">
      <c r="A270" s="3">
        <v>135</v>
      </c>
      <c r="B270" s="4">
        <f>HYPERLINK("https://leetcode.com/problems/decode-string/","Decode String (394)")</f>
      </c>
      <c r="C270" s="3" t="inlineStr">
        <is>
          <t xml:space="preserve">Medium</t>
        </is>
      </c>
      <c r="D270" s="3" t="inlineStr">
        <is>
          <t xml:space="preserve">Stack &amp; Queue</t>
        </is>
      </c>
      <c r="E270" s="3" t="inlineStr">
        <is>
          <t xml:space="preserve">Not started</t>
        </is>
      </c>
      <c r="L270" s="2">
        <f>IF(F270="","",F270+1)</f>
      </c>
      <c r="M270" s="2">
        <f>IF(F270="","",F270+3)</f>
      </c>
      <c r="N270" s="2">
        <f>IF(F270="","",F270+7)</f>
      </c>
      <c r="O270" s="2">
        <f>IF(F270="","",F270+14)</f>
      </c>
    </row>
    <row r="271">
      <c r="A271" s="3">
        <v>136</v>
      </c>
      <c r="B271" s="4">
        <f>HYPERLINK("https://leetcode.com/problems/insert-delete-getrandom-o1/","Insert Delete GetRandom O(1) (380)")</f>
      </c>
      <c r="C271" s="3" t="inlineStr">
        <is>
          <t xml:space="preserve">Medium</t>
        </is>
      </c>
      <c r="D271" s="3" t="inlineStr">
        <is>
          <t xml:space="preserve">Hashing</t>
        </is>
      </c>
      <c r="E271" s="3" t="inlineStr">
        <is>
          <t xml:space="preserve">Not started</t>
        </is>
      </c>
      <c r="L271" s="2">
        <f>IF(F271="","",F271+1)</f>
      </c>
      <c r="M271" s="2">
        <f>IF(F271="","",F271+3)</f>
      </c>
      <c r="N271" s="2">
        <f>IF(F271="","",F271+7)</f>
      </c>
      <c r="O271" s="2">
        <f>IF(F271="","",F271+14)</f>
      </c>
    </row>
    <row r="272">
      <c r="A272" s="3">
        <v>136</v>
      </c>
      <c r="B272" s="4">
        <f>HYPERLINK("https://leetcode.com/problems/subarray-product-less-than-k/","Subarray Product Less Than K (713)")</f>
      </c>
      <c r="C272" s="3" t="inlineStr">
        <is>
          <t xml:space="preserve">Medium</t>
        </is>
      </c>
      <c r="D272" s="3" t="inlineStr">
        <is>
          <t xml:space="preserve">Sliding window</t>
        </is>
      </c>
      <c r="E272" s="3" t="inlineStr">
        <is>
          <t xml:space="preserve">Not started</t>
        </is>
      </c>
      <c r="L272" s="2">
        <f>IF(F272="","",F272+1)</f>
      </c>
      <c r="M272" s="2">
        <f>IF(F272="","",F272+3)</f>
      </c>
      <c r="N272" s="2">
        <f>IF(F272="","",F272+7)</f>
      </c>
      <c r="O272" s="2">
        <f>IF(F272="","",F272+14)</f>
      </c>
    </row>
    <row r="273">
      <c r="A273" s="3">
        <v>137</v>
      </c>
      <c r="B273" s="4">
        <f>HYPERLINK("https://leetcode.com/problems/continuous-subarray-sum/","Continuous Subarray Sum (523)")</f>
      </c>
      <c r="C273" s="3" t="inlineStr">
        <is>
          <t xml:space="preserve">Medium</t>
        </is>
      </c>
      <c r="D273" s="3" t="inlineStr">
        <is>
          <t xml:space="preserve">Prefix sum</t>
        </is>
      </c>
      <c r="E273" s="3" t="inlineStr">
        <is>
          <t xml:space="preserve">Not started</t>
        </is>
      </c>
      <c r="L273" s="2">
        <f>IF(F273="","",F273+1)</f>
      </c>
      <c r="M273" s="2">
        <f>IF(F273="","",F273+3)</f>
      </c>
      <c r="N273" s="2">
        <f>IF(F273="","",F273+7)</f>
      </c>
      <c r="O273" s="2">
        <f>IF(F273="","",F273+14)</f>
      </c>
    </row>
    <row r="274">
      <c r="A274" s="3">
        <v>137</v>
      </c>
      <c r="B274" s="4">
        <f>HYPERLINK("https://leetcode.com/problems/contiguous-array/","Contiguous Array (525)")</f>
      </c>
      <c r="C274" s="3" t="inlineStr">
        <is>
          <t xml:space="preserve">Medium</t>
        </is>
      </c>
      <c r="D274" s="3" t="inlineStr">
        <is>
          <t xml:space="preserve">Prefix sum</t>
        </is>
      </c>
      <c r="E274" s="3" t="inlineStr">
        <is>
          <t xml:space="preserve">Not started</t>
        </is>
      </c>
      <c r="L274" s="2">
        <f>IF(F274="","",F274+1)</f>
      </c>
      <c r="M274" s="2">
        <f>IF(F274="","",F274+3)</f>
      </c>
      <c r="N274" s="2">
        <f>IF(F274="","",F274+7)</f>
      </c>
      <c r="O274" s="2">
        <f>IF(F274="","",F274+14)</f>
      </c>
    </row>
    <row r="275">
      <c r="A275" s="3">
        <v>138</v>
      </c>
      <c r="B275" s="4">
        <f>HYPERLINK("https://leetcode.com/problems/first-missing-positive/","First Missing Positive (41)")</f>
      </c>
      <c r="C275" s="3" t="inlineStr">
        <is>
          <t xml:space="preserve">Hard</t>
        </is>
      </c>
      <c r="D275" s="3" t="inlineStr">
        <is>
          <t xml:space="preserve">Arrays</t>
        </is>
      </c>
      <c r="E275" s="3" t="inlineStr">
        <is>
          <t xml:space="preserve">Not started</t>
        </is>
      </c>
      <c r="L275" s="2">
        <f>IF(F275="","",F275+1)</f>
      </c>
      <c r="M275" s="2">
        <f>IF(F275="","",F275+3)</f>
      </c>
      <c r="N275" s="2">
        <f>IF(F275="","",F275+7)</f>
      </c>
      <c r="O275" s="2">
        <f>IF(F275="","",F275+14)</f>
      </c>
    </row>
    <row r="276">
      <c r="A276" s="3">
        <v>139</v>
      </c>
      <c r="B276" s="4">
        <f>HYPERLINK("https://leetcode.com/problems/majority-element/","Majority Element (169)")</f>
      </c>
      <c r="C276" s="3" t="inlineStr">
        <is>
          <t xml:space="preserve">Easy</t>
        </is>
      </c>
      <c r="D276" s="3" t="inlineStr">
        <is>
          <t xml:space="preserve">Hashing</t>
        </is>
      </c>
      <c r="E276" s="3" t="inlineStr">
        <is>
          <t xml:space="preserve">Not started</t>
        </is>
      </c>
      <c r="L276" s="2">
        <f>IF(F276="","",F276+1)</f>
      </c>
      <c r="M276" s="2">
        <f>IF(F276="","",F276+3)</f>
      </c>
      <c r="N276" s="2">
        <f>IF(F276="","",F276+7)</f>
      </c>
      <c r="O276" s="2">
        <f>IF(F276="","",F276+14)</f>
      </c>
    </row>
    <row r="277">
      <c r="A277" s="3">
        <v>139</v>
      </c>
      <c r="B277" s="4">
        <f>HYPERLINK("https://leetcode.com/problems/rotate-array/","Rotate Array (189)")</f>
      </c>
      <c r="C277" s="3" t="inlineStr">
        <is>
          <t xml:space="preserve">Medium</t>
        </is>
      </c>
      <c r="D277" s="3" t="inlineStr">
        <is>
          <t xml:space="preserve">Arrays</t>
        </is>
      </c>
      <c r="E277" s="3" t="inlineStr">
        <is>
          <t xml:space="preserve">Not started</t>
        </is>
      </c>
      <c r="L277" s="2">
        <f>IF(F277="","",F277+1)</f>
      </c>
      <c r="M277" s="2">
        <f>IF(F277="","",F277+3)</f>
      </c>
      <c r="N277" s="2">
        <f>IF(F277="","",F277+7)</f>
      </c>
      <c r="O277" s="2">
        <f>IF(F277="","",F277+14)</f>
      </c>
    </row>
    <row r="278">
      <c r="A278" s="3">
        <v>139</v>
      </c>
      <c r="B278" s="4">
        <f>HYPERLINK("https://leetcode.com/problems/find-the-duplicate-number/","Find the Duplicate Number (287)")</f>
      </c>
      <c r="C278" s="3" t="inlineStr">
        <is>
          <t xml:space="preserve">Medium</t>
        </is>
      </c>
      <c r="D278" s="3" t="inlineStr">
        <is>
          <t xml:space="preserve">Fast &amp; slow</t>
        </is>
      </c>
      <c r="E278" s="3" t="inlineStr">
        <is>
          <t xml:space="preserve">Not started</t>
        </is>
      </c>
      <c r="L278" s="2">
        <f>IF(F278="","",F278+1)</f>
      </c>
      <c r="M278" s="2">
        <f>IF(F278="","",F278+3)</f>
      </c>
      <c r="N278" s="2">
        <f>IF(F278="","",F278+7)</f>
      </c>
      <c r="O278" s="2">
        <f>IF(F278="","",F278+14)</f>
      </c>
    </row>
    <row r="279">
      <c r="A279" s="3">
        <v>139</v>
      </c>
      <c r="B279" s="4">
        <f>HYPERLINK("https://leetcode.com/problems/next-permutation/","Next Permutation (31)")</f>
      </c>
      <c r="C279" s="3" t="inlineStr">
        <is>
          <t xml:space="preserve">Medium</t>
        </is>
      </c>
      <c r="D279" s="3" t="inlineStr">
        <is>
          <t xml:space="preserve">Arrays</t>
        </is>
      </c>
      <c r="E279" s="3" t="inlineStr">
        <is>
          <t xml:space="preserve">Not started</t>
        </is>
      </c>
      <c r="L279" s="2">
        <f>IF(F279="","",F279+1)</f>
      </c>
      <c r="M279" s="2">
        <f>IF(F279="","",F279+3)</f>
      </c>
      <c r="N279" s="2">
        <f>IF(F279="","",F279+7)</f>
      </c>
      <c r="O279" s="2">
        <f>IF(F279="","",F279+14)</f>
      </c>
    </row>
    <row r="280">
      <c r="A280" s="3">
        <v>141</v>
      </c>
      <c r="B280" s="4">
        <f>HYPERLINK("https://leetcode.com/problems/linked-list-cycle-ii/","Linked List Cycle II (142)")</f>
      </c>
      <c r="C280" s="3" t="inlineStr">
        <is>
          <t xml:space="preserve">Medium</t>
        </is>
      </c>
      <c r="D280" s="3" t="inlineStr">
        <is>
          <t xml:space="preserve">Fast &amp; slow</t>
        </is>
      </c>
      <c r="E280" s="3" t="inlineStr">
        <is>
          <t xml:space="preserve">Not started</t>
        </is>
      </c>
      <c r="L280" s="2">
        <f>IF(F280="","",F280+1)</f>
      </c>
      <c r="M280" s="2">
        <f>IF(F280="","",F280+3)</f>
      </c>
      <c r="N280" s="2">
        <f>IF(F280="","",F280+7)</f>
      </c>
      <c r="O280" s="2">
        <f>IF(F280="","",F280+14)</f>
      </c>
    </row>
    <row r="281">
      <c r="A281" s="3">
        <v>141</v>
      </c>
      <c r="B281" s="4">
        <f>HYPERLINK("https://leetcode.com/problems/happy-number/","Happy Number (202)")</f>
      </c>
      <c r="C281" s="3" t="inlineStr">
        <is>
          <t xml:space="preserve">Easy</t>
        </is>
      </c>
      <c r="D281" s="3" t="inlineStr">
        <is>
          <t xml:space="preserve">Fast &amp; slow</t>
        </is>
      </c>
      <c r="E281" s="3" t="inlineStr">
        <is>
          <t xml:space="preserve">Not started</t>
        </is>
      </c>
      <c r="L281" s="2">
        <f>IF(F281="","",F281+1)</f>
      </c>
      <c r="M281" s="2">
        <f>IF(F281="","",F281+3)</f>
      </c>
      <c r="N281" s="2">
        <f>IF(F281="","",F281+7)</f>
      </c>
      <c r="O281" s="2">
        <f>IF(F281="","",F281+14)</f>
      </c>
    </row>
    <row r="282">
      <c r="A282" s="3">
        <v>142</v>
      </c>
      <c r="B282" s="4">
        <f>HYPERLINK("https://leetcode.com/problems/odd-even-linked-list/","Odd Even Linked List (328)")</f>
      </c>
      <c r="C282" s="3" t="inlineStr">
        <is>
          <t xml:space="preserve">Medium</t>
        </is>
      </c>
      <c r="D282" s="3" t="inlineStr">
        <is>
          <t xml:space="preserve">Linked lists</t>
        </is>
      </c>
      <c r="E282" s="3" t="inlineStr">
        <is>
          <t xml:space="preserve">Not started</t>
        </is>
      </c>
      <c r="L282" s="2">
        <f>IF(F282="","",F282+1)</f>
      </c>
      <c r="M282" s="2">
        <f>IF(F282="","",F282+3)</f>
      </c>
      <c r="N282" s="2">
        <f>IF(F282="","",F282+7)</f>
      </c>
      <c r="O282" s="2">
        <f>IF(F282="","",F282+14)</f>
      </c>
    </row>
    <row r="283">
      <c r="A283" s="3">
        <v>143</v>
      </c>
      <c r="B283" s="4">
        <f>HYPERLINK("https://leetcode.com/problems/minimum-remove-to-make-valid-parentheses/","Minimum Remove to Make Valid Parentheses (1249)")</f>
      </c>
      <c r="C283" s="3" t="inlineStr">
        <is>
          <t xml:space="preserve">Medium</t>
        </is>
      </c>
      <c r="D283" s="3" t="inlineStr">
        <is>
          <t xml:space="preserve">Stack &amp; Queue</t>
        </is>
      </c>
      <c r="E283" s="3" t="inlineStr">
        <is>
          <t xml:space="preserve">Not started</t>
        </is>
      </c>
      <c r="L283" s="2">
        <f>IF(F283="","",F283+1)</f>
      </c>
      <c r="M283" s="2">
        <f>IF(F283="","",F283+3)</f>
      </c>
      <c r="N283" s="2">
        <f>IF(F283="","",F283+7)</f>
      </c>
      <c r="O283" s="2">
        <f>IF(F283="","",F283+14)</f>
      </c>
    </row>
    <row r="284">
      <c r="A284" s="3">
        <v>143</v>
      </c>
      <c r="B284" s="4">
        <f>HYPERLINK("https://leetcode.com/problems/delete-node-in-a-bst/","Delete Node in a BST (450)")</f>
      </c>
      <c r="C284" s="3" t="inlineStr">
        <is>
          <t xml:space="preserve">Medium</t>
        </is>
      </c>
      <c r="D284" s="3" t="inlineStr">
        <is>
          <t xml:space="preserve">BST</t>
        </is>
      </c>
      <c r="E284" s="3" t="inlineStr">
        <is>
          <t xml:space="preserve">Not started</t>
        </is>
      </c>
      <c r="L284" s="2">
        <f>IF(F284="","",F284+1)</f>
      </c>
      <c r="M284" s="2">
        <f>IF(F284="","",F284+3)</f>
      </c>
      <c r="N284" s="2">
        <f>IF(F284="","",F284+7)</f>
      </c>
      <c r="O284" s="2">
        <f>IF(F284="","",F284+14)</f>
      </c>
    </row>
    <row r="285">
      <c r="A285" s="3">
        <v>144</v>
      </c>
      <c r="B285" s="4">
        <f>HYPERLINK("https://leetcode.com/problems/open-the-lock/","Open the Lock (752)")</f>
      </c>
      <c r="C285" s="3" t="inlineStr">
        <is>
          <t xml:space="preserve">Medium</t>
        </is>
      </c>
      <c r="D285" s="3" t="inlineStr">
        <is>
          <t xml:space="preserve">Graphs</t>
        </is>
      </c>
      <c r="E285" s="3" t="inlineStr">
        <is>
          <t xml:space="preserve">Not started</t>
        </is>
      </c>
      <c r="L285" s="2">
        <f>IF(F285="","",F285+1)</f>
      </c>
      <c r="M285" s="2">
        <f>IF(F285="","",F285+3)</f>
      </c>
      <c r="N285" s="2">
        <f>IF(F285="","",F285+7)</f>
      </c>
      <c r="O285" s="2">
        <f>IF(F285="","",F285+14)</f>
      </c>
    </row>
    <row r="286">
      <c r="A286" s="3">
        <v>144</v>
      </c>
      <c r="B286" s="4">
        <f>HYPERLINK("https://leetcode.com/problems/snakes-and-ladders/","Snakes and Ladders (909)")</f>
      </c>
      <c r="C286" s="3" t="inlineStr">
        <is>
          <t xml:space="preserve">Medium</t>
        </is>
      </c>
      <c r="D286" s="3" t="inlineStr">
        <is>
          <t xml:space="preserve">Graphs</t>
        </is>
      </c>
      <c r="E286" s="3" t="inlineStr">
        <is>
          <t xml:space="preserve">Not started</t>
        </is>
      </c>
      <c r="L286" s="2">
        <f>IF(F286="","",F286+1)</f>
      </c>
      <c r="M286" s="2">
        <f>IF(F286="","",F286+3)</f>
      </c>
      <c r="N286" s="2">
        <f>IF(F286="","",F286+7)</f>
      </c>
      <c r="O286" s="2">
        <f>IF(F286="","",F286+14)</f>
      </c>
    </row>
    <row r="287">
      <c r="A287" s="3">
        <v>146</v>
      </c>
      <c r="B287" s="4">
        <f>HYPERLINK("https://leetcode.com/problems/snapshot-array/","Snapshot Array (1146)")</f>
      </c>
      <c r="C287" s="3" t="inlineStr">
        <is>
          <t xml:space="preserve">Medium</t>
        </is>
      </c>
      <c r="D287" s="3" t="inlineStr">
        <is>
          <t xml:space="preserve">Binary search</t>
        </is>
      </c>
      <c r="E287" s="3" t="inlineStr">
        <is>
          <t xml:space="preserve">Not started</t>
        </is>
      </c>
      <c r="L287" s="2">
        <f>IF(F287="","",F287+1)</f>
      </c>
      <c r="M287" s="2">
        <f>IF(F287="","",F287+3)</f>
      </c>
      <c r="N287" s="2">
        <f>IF(F287="","",F287+7)</f>
      </c>
      <c r="O287" s="2">
        <f>IF(F287="","",F287+14)</f>
      </c>
    </row>
    <row r="288">
      <c r="A288" s="3">
        <v>146</v>
      </c>
      <c r="B288" s="4">
        <f>HYPERLINK("https://leetcode.com/problems/stock-price-fluctuation/","Stock Price Fluctuation (2034)")</f>
      </c>
      <c r="C288" s="3" t="inlineStr">
        <is>
          <t xml:space="preserve">Medium</t>
        </is>
      </c>
      <c r="D288" s="3" t="inlineStr">
        <is>
          <t xml:space="preserve">Heaps</t>
        </is>
      </c>
      <c r="E288" s="3" t="inlineStr">
        <is>
          <t xml:space="preserve">Not started</t>
        </is>
      </c>
      <c r="L288" s="2">
        <f>IF(F288="","",F288+1)</f>
      </c>
      <c r="M288" s="2">
        <f>IF(F288="","",F288+3)</f>
      </c>
      <c r="N288" s="2">
        <f>IF(F288="","",F288+7)</f>
      </c>
      <c r="O288" s="2">
        <f>IF(F288="","",F288+14)</f>
      </c>
    </row>
    <row r="289">
      <c r="A289" s="3">
        <v>155</v>
      </c>
      <c r="B289" s="4">
        <f>HYPERLINK("https://leetcode.com/problems/most-common-word/","Most Common Word (819)")</f>
      </c>
      <c r="C289" s="3" t="inlineStr">
        <is>
          <t xml:space="preserve">Easy</t>
        </is>
      </c>
      <c r="D289" s="3" t="inlineStr">
        <is>
          <t xml:space="preserve">Strings</t>
        </is>
      </c>
      <c r="E289" s="3" t="inlineStr">
        <is>
          <t xml:space="preserve">Not started</t>
        </is>
      </c>
      <c r="L289" s="2">
        <f>IF(F289="","",F289+1)</f>
      </c>
      <c r="M289" s="2">
        <f>IF(F289="","",F289+3)</f>
      </c>
      <c r="N289" s="2">
        <f>IF(F289="","",F289+7)</f>
      </c>
      <c r="O289" s="2">
        <f>IF(F289="","",F289+14)</f>
      </c>
    </row>
    <row r="290">
      <c r="A290" s="3">
        <v>155</v>
      </c>
      <c r="B290" s="4">
        <f>HYPERLINK("https://leetcode.com/problems/reorder-data-in-log-files/","Reorder Data in Log Files (937)")</f>
      </c>
      <c r="C290" s="3" t="inlineStr">
        <is>
          <t xml:space="preserve">Medium</t>
        </is>
      </c>
      <c r="D290" s="3" t="inlineStr">
        <is>
          <t xml:space="preserve">Sorting</t>
        </is>
      </c>
      <c r="E290" s="3" t="inlineStr">
        <is>
          <t xml:space="preserve">Not started</t>
        </is>
      </c>
      <c r="L290" s="2">
        <f>IF(F290="","",F290+1)</f>
      </c>
      <c r="M290" s="2">
        <f>IF(F290="","",F290+3)</f>
      </c>
      <c r="N290" s="2">
        <f>IF(F290="","",F290+7)</f>
      </c>
      <c r="O290" s="2">
        <f>IF(F290="","",F290+14)</f>
      </c>
    </row>
    <row r="291">
      <c r="A291" s="3">
        <v>159</v>
      </c>
      <c r="B291" s="4">
        <f>HYPERLINK("https://leetcode.com/problems/integer-to-english-words/","Integer to English Words (273)")</f>
      </c>
      <c r="C291" s="3" t="inlineStr">
        <is>
          <t xml:space="preserve">Hard</t>
        </is>
      </c>
      <c r="D291" s="3" t="inlineStr">
        <is>
          <t xml:space="preserve">Strings</t>
        </is>
      </c>
      <c r="E291" s="3" t="inlineStr">
        <is>
          <t xml:space="preserve">Not started</t>
        </is>
      </c>
      <c r="L291" s="2">
        <f>IF(F291="","",F291+1)</f>
      </c>
      <c r="M291" s="2">
        <f>IF(F291="","",F291+3)</f>
      </c>
      <c r="N291" s="2">
        <f>IF(F291="","",F291+7)</f>
      </c>
      <c r="O291" s="2">
        <f>IF(F291="","",F291+14)</f>
      </c>
    </row>
    <row r="292">
      <c r="A292" s="3">
        <v>165</v>
      </c>
      <c r="B292" s="4">
        <f>HYPERLINK("https://leetcode.com/problems/lfu-cache/","LFU Cache (460)")</f>
      </c>
      <c r="C292" s="3" t="inlineStr">
        <is>
          <t xml:space="preserve">Hard</t>
        </is>
      </c>
      <c r="D292" s="3" t="inlineStr">
        <is>
          <t xml:space="preserve">Linked lists</t>
        </is>
      </c>
      <c r="E292" s="3" t="inlineStr">
        <is>
          <t xml:space="preserve">Not started</t>
        </is>
      </c>
      <c r="L292" s="2">
        <f>IF(F292="","",F292+1)</f>
      </c>
      <c r="M292" s="2">
        <f>IF(F292="","",F292+3)</f>
      </c>
      <c r="N292" s="2">
        <f>IF(F292="","",F292+7)</f>
      </c>
      <c r="O292" s="2">
        <f>IF(F292="","",F292+14)</f>
      </c>
    </row>
    <row r="293">
      <c r="A293" s="3">
        <v>166</v>
      </c>
      <c r="B293" s="4">
        <f>HYPERLINK("https://leetcode.com/problems/median-of-two-sorted-arrays/","Median of Two Sorted Arrays (4)")</f>
      </c>
      <c r="C293" s="3" t="inlineStr">
        <is>
          <t xml:space="preserve">Hard</t>
        </is>
      </c>
      <c r="D293" s="3" t="inlineStr">
        <is>
          <t xml:space="preserve">Binary search</t>
        </is>
      </c>
      <c r="E293" s="3" t="inlineStr">
        <is>
          <t xml:space="preserve">Not started</t>
        </is>
      </c>
      <c r="L293" s="2">
        <f>IF(F293="","",F293+1)</f>
      </c>
      <c r="M293" s="2">
        <f>IF(F293="","",F293+3)</f>
      </c>
      <c r="N293" s="2">
        <f>IF(F293="","",F293+7)</f>
      </c>
      <c r="O293" s="2">
        <f>IF(F293="","",F293+14)</f>
      </c>
    </row>
    <row r="294">
      <c r="A294" s="3">
        <v>170</v>
      </c>
      <c r="B294" s="4">
        <f>HYPERLINK("https://leetcode.com/problems/find-the-index-of-the-first-occurrence-in-a-string/","Find the Index of the First Occurrence in a String (28)")</f>
      </c>
      <c r="C294" s="3" t="inlineStr">
        <is>
          <t xml:space="preserve">Easy</t>
        </is>
      </c>
      <c r="D294" s="3" t="inlineStr">
        <is>
          <t xml:space="preserve">Strings advanced</t>
        </is>
      </c>
      <c r="E294" s="3" t="inlineStr">
        <is>
          <t xml:space="preserve">Not started</t>
        </is>
      </c>
      <c r="L294" s="2">
        <f>IF(F294="","",F294+1)</f>
      </c>
      <c r="M294" s="2">
        <f>IF(F294="","",F294+3)</f>
      </c>
      <c r="N294" s="2">
        <f>IF(F294="","",F294+7)</f>
      </c>
      <c r="O294" s="2">
        <f>IF(F294="","",F294+14)</f>
      </c>
    </row>
    <row r="295">
      <c r="A295" s="3">
        <v>170</v>
      </c>
      <c r="B295" s="4">
        <f>HYPERLINK("PROBLEMS.md#x-kmp","KMP prefix function (LPS) by hand, then code")</f>
      </c>
      <c r="C295" s="3" t="inlineStr">
        <is>
          <t xml:space="preserve">Custom</t>
        </is>
      </c>
      <c r="D295" s="3" t="inlineStr">
        <is>
          <t xml:space="preserve">Strings advanced</t>
        </is>
      </c>
      <c r="E295" s="3" t="inlineStr">
        <is>
          <t xml:space="preserve">Not started</t>
        </is>
      </c>
      <c r="L295" s="2">
        <f>IF(F295="","",F295+1)</f>
      </c>
      <c r="M295" s="2">
        <f>IF(F295="","",F295+3)</f>
      </c>
      <c r="N295" s="2">
        <f>IF(F295="","",F295+7)</f>
      </c>
      <c r="O295" s="2">
        <f>IF(F295="","",F295+14)</f>
      </c>
    </row>
    <row r="296">
      <c r="A296" s="3">
        <v>172</v>
      </c>
      <c r="B296" s="4">
        <f>HYPERLINK("https://leetcode.com/problems/longest-happy-prefix/","Longest Happy Prefix (1392)")</f>
      </c>
      <c r="C296" s="3" t="inlineStr">
        <is>
          <t xml:space="preserve">Hard</t>
        </is>
      </c>
      <c r="D296" s="3" t="inlineStr">
        <is>
          <t xml:space="preserve">Strings advanced</t>
        </is>
      </c>
      <c r="E296" s="3" t="inlineStr">
        <is>
          <t xml:space="preserve">Not started</t>
        </is>
      </c>
      <c r="L296" s="2">
        <f>IF(F296="","",F296+1)</f>
      </c>
      <c r="M296" s="2">
        <f>IF(F296="","",F296+3)</f>
      </c>
      <c r="N296" s="2">
        <f>IF(F296="","",F296+7)</f>
      </c>
      <c r="O296" s="2">
        <f>IF(F296="","",F296+14)</f>
      </c>
    </row>
    <row r="297">
      <c r="A297" s="3">
        <v>172</v>
      </c>
      <c r="B297" s="4">
        <f>HYPERLINK("https://leetcode.com/problems/repeated-string-match/","Repeated String Match (686)")</f>
      </c>
      <c r="C297" s="3" t="inlineStr">
        <is>
          <t xml:space="preserve">Medium</t>
        </is>
      </c>
      <c r="D297" s="3" t="inlineStr">
        <is>
          <t xml:space="preserve">Strings advanced</t>
        </is>
      </c>
      <c r="E297" s="3" t="inlineStr">
        <is>
          <t xml:space="preserve">Not started</t>
        </is>
      </c>
      <c r="L297" s="2">
        <f>IF(F297="","",F297+1)</f>
      </c>
      <c r="M297" s="2">
        <f>IF(F297="","",F297+3)</f>
      </c>
      <c r="N297" s="2">
        <f>IF(F297="","",F297+7)</f>
      </c>
      <c r="O297" s="2">
        <f>IF(F297="","",F297+14)</f>
      </c>
    </row>
    <row r="298">
      <c r="A298" s="3">
        <v>173</v>
      </c>
      <c r="B298" s="4">
        <f>HYPERLINK("https://leetcode.com/problems/shortest-palindrome/","Shortest Palindrome (214)")</f>
      </c>
      <c r="C298" s="3" t="inlineStr">
        <is>
          <t xml:space="preserve">Hard</t>
        </is>
      </c>
      <c r="D298" s="3" t="inlineStr">
        <is>
          <t xml:space="preserve">Strings advanced</t>
        </is>
      </c>
      <c r="E298" s="3" t="inlineStr">
        <is>
          <t xml:space="preserve">Not started</t>
        </is>
      </c>
      <c r="L298" s="2">
        <f>IF(F298="","",F298+1)</f>
      </c>
      <c r="M298" s="2">
        <f>IF(F298="","",F298+3)</f>
      </c>
      <c r="N298" s="2">
        <f>IF(F298="","",F298+7)</f>
      </c>
      <c r="O298" s="2">
        <f>IF(F298="","",F298+14)</f>
      </c>
    </row>
    <row r="299">
      <c r="A299" s="3">
        <v>177</v>
      </c>
      <c r="B299" s="4">
        <f>HYPERLINK("https://leetcode.com/problems/range-sum-query-mutable/","Range Sum Query - Mutable (307)")</f>
      </c>
      <c r="C299" s="3" t="inlineStr">
        <is>
          <t xml:space="preserve">Medium</t>
        </is>
      </c>
      <c r="D299" s="3" t="inlineStr">
        <is>
          <t xml:space="preserve">Range queries</t>
        </is>
      </c>
      <c r="E299" s="3" t="inlineStr">
        <is>
          <t xml:space="preserve">Not started</t>
        </is>
      </c>
      <c r="L299" s="2">
        <f>IF(F299="","",F299+1)</f>
      </c>
      <c r="M299" s="2">
        <f>IF(F299="","",F299+3)</f>
      </c>
      <c r="N299" s="2">
        <f>IF(F299="","",F299+7)</f>
      </c>
      <c r="O299" s="2">
        <f>IF(F299="","",F299+14)</f>
      </c>
    </row>
    <row r="300">
      <c r="A300" s="3">
        <v>177</v>
      </c>
      <c r="B300" s="4">
        <f>HYPERLINK("PROBLEMS.md#x-segment-tree","Segment tree with lazy propagation (range add, range sum)")</f>
      </c>
      <c r="C300" s="3" t="inlineStr">
        <is>
          <t xml:space="preserve">Custom</t>
        </is>
      </c>
      <c r="D300" s="3" t="inlineStr">
        <is>
          <t xml:space="preserve">Range queries</t>
        </is>
      </c>
      <c r="E300" s="3" t="inlineStr">
        <is>
          <t xml:space="preserve">Not started</t>
        </is>
      </c>
      <c r="L300" s="2">
        <f>IF(F300="","",F300+1)</f>
      </c>
      <c r="M300" s="2">
        <f>IF(F300="","",F300+3)</f>
      </c>
      <c r="N300" s="2">
        <f>IF(F300="","",F300+7)</f>
      </c>
      <c r="O300" s="2">
        <f>IF(F300="","",F300+14)</f>
      </c>
    </row>
    <row r="301">
      <c r="A301" s="3">
        <v>179</v>
      </c>
      <c r="B301" s="4">
        <f>HYPERLINK("https://leetcode.com/problems/count-of-smaller-numbers-after-self/","Count of Smaller Numbers After Self (315)")</f>
      </c>
      <c r="C301" s="3" t="inlineStr">
        <is>
          <t xml:space="preserve">Hard</t>
        </is>
      </c>
      <c r="D301" s="3" t="inlineStr">
        <is>
          <t xml:space="preserve">Range queries</t>
        </is>
      </c>
      <c r="E301" s="3" t="inlineStr">
        <is>
          <t xml:space="preserve">Not started</t>
        </is>
      </c>
      <c r="L301" s="2">
        <f>IF(F301="","",F301+1)</f>
      </c>
      <c r="M301" s="2">
        <f>IF(F301="","",F301+3)</f>
      </c>
      <c r="N301" s="2">
        <f>IF(F301="","",F301+7)</f>
      </c>
      <c r="O301" s="2">
        <f>IF(F301="","",F301+14)</f>
      </c>
    </row>
    <row r="302">
      <c r="A302" s="3">
        <v>179</v>
      </c>
      <c r="B302" s="4">
        <f>HYPERLINK("https://leetcode.com/problems/my-calendar-i/","My Calendar I (729)")</f>
      </c>
      <c r="C302" s="3" t="inlineStr">
        <is>
          <t xml:space="preserve">Medium</t>
        </is>
      </c>
      <c r="D302" s="3" t="inlineStr">
        <is>
          <t xml:space="preserve">Intervals</t>
        </is>
      </c>
      <c r="E302" s="3" t="inlineStr">
        <is>
          <t xml:space="preserve">Not started</t>
        </is>
      </c>
      <c r="L302" s="2">
        <f>IF(F302="","",F302+1)</f>
      </c>
      <c r="M302" s="2">
        <f>IF(F302="","",F302+3)</f>
      </c>
      <c r="N302" s="2">
        <f>IF(F302="","",F302+7)</f>
      </c>
      <c r="O302" s="2">
        <f>IF(F302="","",F302+14)</f>
      </c>
    </row>
    <row r="303">
      <c r="A303" s="3">
        <v>180</v>
      </c>
      <c r="B303" s="4">
        <f>HYPERLINK("https://leetcode.com/problems/smallest-range-covering-elements-from-k-lists/","Smallest Range Covering Elements from K Lists (632)")</f>
      </c>
      <c r="C303" s="3" t="inlineStr">
        <is>
          <t xml:space="preserve">Hard</t>
        </is>
      </c>
      <c r="D303" s="3" t="inlineStr">
        <is>
          <t xml:space="preserve">Heaps</t>
        </is>
      </c>
      <c r="E303" s="3" t="inlineStr">
        <is>
          <t xml:space="preserve">Not started</t>
        </is>
      </c>
      <c r="L303" s="2">
        <f>IF(F303="","",F303+1)</f>
      </c>
      <c r="M303" s="2">
        <f>IF(F303="","",F303+3)</f>
      </c>
      <c r="N303" s="2">
        <f>IF(F303="","",F303+7)</f>
      </c>
      <c r="O303" s="2">
        <f>IF(F303="","",F303+14)</f>
      </c>
    </row>
    <row r="304">
      <c r="A304" s="3">
        <v>185</v>
      </c>
      <c r="B304" s="4">
        <f>HYPERLINK("https://leetcode.com/problems/maximum-xor-of-two-numbers-in-an-array/","Maximum XOR of Two Numbers in an Array (421)")</f>
      </c>
      <c r="C304" s="3" t="inlineStr">
        <is>
          <t xml:space="preserve">Medium</t>
        </is>
      </c>
      <c r="D304" s="3" t="inlineStr">
        <is>
          <t xml:space="preserve">Trie</t>
        </is>
      </c>
      <c r="E304" s="3" t="inlineStr">
        <is>
          <t xml:space="preserve">Not started</t>
        </is>
      </c>
      <c r="L304" s="2">
        <f>IF(F304="","",F304+1)</f>
      </c>
      <c r="M304" s="2">
        <f>IF(F304="","",F304+3)</f>
      </c>
      <c r="N304" s="2">
        <f>IF(F304="","",F304+7)</f>
      </c>
      <c r="O304" s="2">
        <f>IF(F304="","",F304+14)</f>
      </c>
    </row>
    <row r="305">
      <c r="A305" s="3">
        <v>194</v>
      </c>
      <c r="B305" s="4">
        <f>HYPERLINK("https://leetcode.com/problems/burst-balloons/","Burst Balloons (312)")</f>
      </c>
      <c r="C305" s="3" t="inlineStr">
        <is>
          <t xml:space="preserve">Hard</t>
        </is>
      </c>
      <c r="D305" s="3" t="inlineStr">
        <is>
          <t xml:space="preserve">DP</t>
        </is>
      </c>
      <c r="E305" s="3" t="inlineStr">
        <is>
          <t xml:space="preserve">Not started</t>
        </is>
      </c>
      <c r="L305" s="2">
        <f>IF(F305="","",F305+1)</f>
      </c>
      <c r="M305" s="2">
        <f>IF(F305="","",F305+3)</f>
      </c>
      <c r="N305" s="2">
        <f>IF(F305="","",F305+7)</f>
      </c>
      <c r="O305" s="2">
        <f>IF(F305="","",F305+14)</f>
      </c>
    </row>
    <row r="306">
      <c r="A306" s="3">
        <v>195</v>
      </c>
      <c r="B306" s="4">
        <f>HYPERLINK("https://leetcode.com/problems/partition-to-k-equal-sum-subsets/","Partition to K Equal Sum Subsets (698)")</f>
      </c>
      <c r="C306" s="3" t="inlineStr">
        <is>
          <t xml:space="preserve">Medium</t>
        </is>
      </c>
      <c r="D306" s="3" t="inlineStr">
        <is>
          <t xml:space="preserve">DP</t>
        </is>
      </c>
      <c r="E306" s="3" t="inlineStr">
        <is>
          <t xml:space="preserve">Not started</t>
        </is>
      </c>
      <c r="L306" s="2">
        <f>IF(F306="","",F306+1)</f>
      </c>
      <c r="M306" s="2">
        <f>IF(F306="","",F306+3)</f>
      </c>
      <c r="N306" s="2">
        <f>IF(F306="","",F306+7)</f>
      </c>
      <c r="O306" s="2">
        <f>IF(F306="","",F306+14)</f>
      </c>
    </row>
    <row r="307">
      <c r="A307" s="3">
        <v>195</v>
      </c>
      <c r="B307" s="4">
        <f>HYPERLINK("https://leetcode.com/problems/shortest-path-visiting-all-nodes/","Shortest Path Visiting All Nodes (847)")</f>
      </c>
      <c r="C307" s="3" t="inlineStr">
        <is>
          <t xml:space="preserve">Hard</t>
        </is>
      </c>
      <c r="D307" s="3" t="inlineStr">
        <is>
          <t xml:space="preserve">DP</t>
        </is>
      </c>
      <c r="E307" s="3" t="inlineStr">
        <is>
          <t xml:space="preserve">Not started</t>
        </is>
      </c>
      <c r="L307" s="2">
        <f>IF(F307="","",F307+1)</f>
      </c>
      <c r="M307" s="2">
        <f>IF(F307="","",F307+3)</f>
      </c>
      <c r="N307" s="2">
        <f>IF(F307="","",F307+7)</f>
      </c>
      <c r="O307" s="2">
        <f>IF(F307="","",F307+14)</f>
      </c>
    </row>
    <row r="308">
      <c r="A308" s="3">
        <v>198</v>
      </c>
      <c r="B308" s="4">
        <f>HYPERLINK("https://leetcode.com/problems/container-with-most-water/","Container With Most Water (11)")</f>
      </c>
      <c r="C308" s="3" t="inlineStr">
        <is>
          <t xml:space="preserve">Medium</t>
        </is>
      </c>
      <c r="D308" s="3" t="inlineStr">
        <is>
          <t xml:space="preserve">Two pointers</t>
        </is>
      </c>
      <c r="E308" s="3" t="inlineStr">
        <is>
          <t xml:space="preserve">Not started</t>
        </is>
      </c>
      <c r="L308" s="2">
        <f>IF(F308="","",F308+1)</f>
      </c>
      <c r="M308" s="2">
        <f>IF(F308="","",F308+3)</f>
      </c>
      <c r="N308" s="2">
        <f>IF(F308="","",F308+7)</f>
      </c>
      <c r="O308" s="2">
        <f>IF(F308="","",F308+14)</f>
      </c>
    </row>
    <row r="309">
      <c r="A309" s="3">
        <v>199</v>
      </c>
      <c r="B309" s="4">
        <f>HYPERLINK("PROBLEMS.md#x-floyd","Implement Floyd-Warshall (all pairs)")</f>
      </c>
      <c r="C309" s="3" t="inlineStr">
        <is>
          <t xml:space="preserve">Custom</t>
        </is>
      </c>
      <c r="D309" s="3" t="inlineStr">
        <is>
          <t xml:space="preserve">Shortest paths</t>
        </is>
      </c>
      <c r="E309" s="3" t="inlineStr">
        <is>
          <t xml:space="preserve">Not started</t>
        </is>
      </c>
      <c r="L309" s="2">
        <f>IF(F309="","",F309+1)</f>
      </c>
      <c r="M309" s="2">
        <f>IF(F309="","",F309+3)</f>
      </c>
      <c r="N309" s="2">
        <f>IF(F309="","",F309+7)</f>
      </c>
      <c r="O309" s="2">
        <f>IF(F309="","",F309+14)</f>
      </c>
    </row>
    <row r="310">
      <c r="A310" s="3">
        <v>199</v>
      </c>
      <c r="B310" s="4">
        <f>HYPERLINK("PROBLEMS.md#x-scc","Strongly connected components: Kosaraju and Tarjan")</f>
      </c>
      <c r="C310" s="3" t="inlineStr">
        <is>
          <t xml:space="preserve">Custom</t>
        </is>
      </c>
      <c r="D310" s="3" t="inlineStr">
        <is>
          <t xml:space="preserve">Graphs</t>
        </is>
      </c>
      <c r="E310" s="3" t="inlineStr">
        <is>
          <t xml:space="preserve">Not started</t>
        </is>
      </c>
      <c r="L310" s="2">
        <f>IF(F310="","",F310+1)</f>
      </c>
      <c r="M310" s="2">
        <f>IF(F310="","",F310+3)</f>
      </c>
      <c r="N310" s="2">
        <f>IF(F310="","",F310+7)</f>
      </c>
      <c r="O310" s="2">
        <f>IF(F310="","",F310+14)</f>
      </c>
    </row>
    <row r="311">
      <c r="A311" s="3">
        <v>202</v>
      </c>
      <c r="B311" s="4">
        <f>HYPERLINK("https://leetcode.com/problems/maximal-rectangle/","Maximal Rectangle (85)")</f>
      </c>
      <c r="C311" s="3" t="inlineStr">
        <is>
          <t xml:space="preserve">Hard</t>
        </is>
      </c>
      <c r="D311" s="3" t="inlineStr">
        <is>
          <t xml:space="preserve">Monotonic</t>
        </is>
      </c>
      <c r="E311" s="3" t="inlineStr">
        <is>
          <t xml:space="preserve">Not started</t>
        </is>
      </c>
      <c r="L311" s="2">
        <f>IF(F311="","",F311+1)</f>
      </c>
      <c r="M311" s="2">
        <f>IF(F311="","",F311+3)</f>
      </c>
      <c r="N311" s="2">
        <f>IF(F311="","",F311+7)</f>
      </c>
      <c r="O311" s="2">
        <f>IF(F311="","",F311+14)</f>
      </c>
    </row>
    <row r="312">
      <c r="A312" s="3">
        <v>202</v>
      </c>
      <c r="B312" s="4">
        <f>HYPERLINK("PROBLEMS.md#x-mcm","Matrix chain multiplication (interval DP)")</f>
      </c>
      <c r="C312" s="3" t="inlineStr">
        <is>
          <t xml:space="preserve">Custom</t>
        </is>
      </c>
      <c r="D312" s="3" t="inlineStr">
        <is>
          <t xml:space="preserve">DP</t>
        </is>
      </c>
      <c r="E312" s="3" t="inlineStr">
        <is>
          <t xml:space="preserve">Not started</t>
        </is>
      </c>
      <c r="L312" s="2">
        <f>IF(F312="","",F312+1)</f>
      </c>
      <c r="M312" s="2">
        <f>IF(F312="","",F312+3)</f>
      </c>
      <c r="N312" s="2">
        <f>IF(F312="","",F312+7)</f>
      </c>
      <c r="O312" s="2">
        <f>IF(F312="","",F312+14)</f>
      </c>
    </row>
    <row r="313">
      <c r="A313" s="3">
        <v>209</v>
      </c>
      <c r="B313" s="4">
        <f>HYPERLINK("https://leetcode.com/problems/longest-valid-parentheses/","Longest Valid Parentheses (32)")</f>
      </c>
      <c r="C313" s="3" t="inlineStr">
        <is>
          <t xml:space="preserve">Hard</t>
        </is>
      </c>
      <c r="D313" s="3" t="inlineStr">
        <is>
          <t xml:space="preserve">Stack &amp; Queue</t>
        </is>
      </c>
      <c r="E313" s="3" t="inlineStr">
        <is>
          <t xml:space="preserve">Not started</t>
        </is>
      </c>
      <c r="L313" s="2">
        <f>IF(F313="","",F313+1)</f>
      </c>
      <c r="M313" s="2">
        <f>IF(F313="","",F313+3)</f>
      </c>
      <c r="N313" s="2">
        <f>IF(F313="","",F313+7)</f>
      </c>
      <c r="O313" s="2">
        <f>IF(F313="","",F313+14)</f>
      </c>
    </row>
  </sheetData>
  <dataValidations count="1">
    <dataValidation type="list" allowBlank="1" showDropDown="0" sqref="E2:E2000">
      <formula1>"Not started,Independent,Hint,Solution read,Failed"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70" customWidth="1"/>
    <col min="3" max="3" width="14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6" customWidth="1"/>
  </cols>
  <sheetData>
    <row r="1">
      <c r="A1" s="1" t="inlineStr">
        <is>
          <t xml:space="preserve">Planned day</t>
        </is>
      </c>
      <c r="B1" s="1" t="inlineStr">
        <is>
          <t xml:space="preserve">Concept (explain aloud)</t>
        </is>
      </c>
      <c r="C1" s="1" t="inlineStr">
        <is>
          <t xml:space="preserve">Learned on</t>
        </is>
      </c>
      <c r="D1" s="1" t="inlineStr">
        <is>
          <t xml:space="preserve">D+1</t>
        </is>
      </c>
      <c r="E1" s="1" t="inlineStr">
        <is>
          <t xml:space="preserve">D+3</t>
        </is>
      </c>
      <c r="F1" s="1" t="inlineStr">
        <is>
          <t xml:space="preserve">D+7</t>
        </is>
      </c>
      <c r="G1" s="1" t="inlineStr">
        <is>
          <t xml:space="preserve">D+14</t>
        </is>
      </c>
      <c r="H1" s="1" t="inlineStr">
        <is>
          <t xml:space="preserve">D+30</t>
        </is>
      </c>
      <c r="I1" s="1" t="inlineStr">
        <is>
          <t xml:space="preserve">Last result</t>
        </is>
      </c>
    </row>
    <row r="2">
      <c r="A2" s="3">
        <v>1</v>
      </c>
      <c r="B2" s="3" t="inlineStr">
        <is>
          <t xml:space="preserve">Why is reading a[i] O(1) but finding a value O(n)?</t>
        </is>
      </c>
      <c r="D2" s="2">
        <f>IF(C2="","",C2+1)</f>
      </c>
      <c r="E2" s="2">
        <f>IF(C2="","",C2+3)</f>
      </c>
      <c r="F2" s="2">
        <f>IF(C2="","",C2+7)</f>
      </c>
      <c r="G2" s="2">
        <f>IF(C2="","",C2+14)</f>
      </c>
      <c r="H2" s="2">
        <f>IF(C2="","",C2+30)</f>
      </c>
    </row>
    <row r="3">
      <c r="A3" s="3">
        <v>2</v>
      </c>
      <c r="B3" s="3" t="inlineStr">
        <is>
          <t xml:space="preserve">What is overflow and when should a sum use long?</t>
        </is>
      </c>
      <c r="D3" s="2">
        <f>IF(C3="","",C3+1)</f>
      </c>
      <c r="E3" s="2">
        <f>IF(C3="","",C3+3)</f>
      </c>
      <c r="F3" s="2">
        <f>IF(C3="","",C3+7)</f>
      </c>
      <c r="G3" s="2">
        <f>IF(C3="","",C3+14)</f>
      </c>
      <c r="H3" s="2">
        <f>IF(C3="","",C3+30)</f>
      </c>
    </row>
    <row r="4">
      <c r="A4" s="3">
        <v>3</v>
      </c>
      <c r="B4" s="3" t="inlineStr">
        <is>
          <t xml:space="preserve">What does a variable of a value type hold, and what does a reference-type variable hold?</t>
        </is>
      </c>
      <c r="D4" s="2">
        <f>IF(C4="","",C4+1)</f>
      </c>
      <c r="E4" s="2">
        <f>IF(C4="","",C4+3)</f>
      </c>
      <c r="F4" s="2">
        <f>IF(C4="","",C4+7)</f>
      </c>
      <c r="G4" s="2">
        <f>IF(C4="","",C4+14)</f>
      </c>
      <c r="H4" s="2">
        <f>IF(C4="","",C4+30)</f>
      </c>
    </row>
    <row r="5">
      <c r="A5" s="3">
        <v>4</v>
      </c>
      <c r="B5" s="3" t="inlineStr">
        <is>
          <t xml:space="preserve">Where does a struct live — the stack or the heap? (It depends on where it is declared.)</t>
        </is>
      </c>
      <c r="D5" s="2">
        <f>IF(C5="","",C5+1)</f>
      </c>
      <c r="E5" s="2">
        <f>IF(C5="","",C5+3)</f>
      </c>
      <c r="F5" s="2">
        <f>IF(C5="","",C5+7)</f>
      </c>
      <c r="G5" s="2">
        <f>IF(C5="","",C5+14)</f>
      </c>
      <c r="H5" s="2">
        <f>IF(C5="","",C5+30)</f>
      </c>
    </row>
    <row r="6">
      <c r="A6" s="3">
        <v>8</v>
      </c>
      <c r="B6" s="3" t="inlineStr">
        <is>
          <t xml:space="preserve">What is boxing, what does it cost, and name three places it happens by accident.</t>
        </is>
      </c>
      <c r="D6" s="2">
        <f>IF(C6="","",C6+1)</f>
      </c>
      <c r="E6" s="2">
        <f>IF(C6="","",C6+3)</f>
      </c>
      <c r="F6" s="2">
        <f>IF(C6="","",C6+7)</f>
      </c>
      <c r="G6" s="2">
        <f>IF(C6="","",C6+14)</f>
      </c>
      <c r="H6" s="2">
        <f>IF(C6="","",C6+30)</f>
      </c>
    </row>
    <row r="7">
      <c r="A7" s="3">
        <v>9</v>
      </c>
      <c r="B7" s="3" t="inlineStr">
        <is>
          <t xml:space="preserve">State the Equals/GetHashCode contract and what breaks without it.</t>
        </is>
      </c>
      <c r="D7" s="2">
        <f>IF(C7="","",C7+1)</f>
      </c>
      <c r="E7" s="2">
        <f>IF(C7="","",C7+3)</f>
      </c>
      <c r="F7" s="2">
        <f>IF(C7="","",C7+7)</f>
      </c>
      <c r="G7" s="2">
        <f>IF(C7="","",C7+14)</f>
      </c>
      <c r="H7" s="2">
        <f>IF(C7="","",C7+30)</f>
      </c>
    </row>
    <row r="8">
      <c r="A8" s="3">
        <v>10</v>
      </c>
      <c r="B8" s="3" t="inlineStr">
        <is>
          <t xml:space="preserve">Why is Dictionary lookup O(1) on average, and what makes it O(n)?</t>
        </is>
      </c>
      <c r="D8" s="2">
        <f>IF(C8="","",C8+1)</f>
      </c>
      <c r="E8" s="2">
        <f>IF(C8="","",C8+3)</f>
      </c>
      <c r="F8" s="2">
        <f>IF(C8="","",C8+7)</f>
      </c>
      <c r="G8" s="2">
        <f>IF(C8="","",C8+14)</f>
      </c>
      <c r="H8" s="2">
        <f>IF(C8="","",C8+30)</f>
      </c>
    </row>
    <row r="9">
      <c r="A9" s="3">
        <v>11</v>
      </c>
      <c r="B9" s="3" t="inlineStr">
        <is>
          <t xml:space="preserve">Explain ref, out and in in one sentence each.</t>
        </is>
      </c>
      <c r="D9" s="2">
        <f>IF(C9="","",C9+1)</f>
      </c>
      <c r="E9" s="2">
        <f>IF(C9="","",C9+3)</f>
      </c>
      <c r="F9" s="2">
        <f>IF(C9="","",C9+7)</f>
      </c>
      <c r="G9" s="2">
        <f>IF(C9="","",C9+14)</f>
      </c>
      <c r="H9" s="2">
        <f>IF(C9="","",C9+30)</f>
      </c>
    </row>
    <row r="10">
      <c r="A10" s="3">
        <v>15</v>
      </c>
      <c r="B10" s="3" t="inlineStr">
        <is>
          <t xml:space="preserve">Why is string concatenation in a loop O(n²)?</t>
        </is>
      </c>
      <c r="D10" s="2">
        <f>IF(C10="","",C10+1)</f>
      </c>
      <c r="E10" s="2">
        <f>IF(C10="","",C10+3)</f>
      </c>
      <c r="F10" s="2">
        <f>IF(C10="","",C10+7)</f>
      </c>
      <c r="G10" s="2">
        <f>IF(C10="","",C10+14)</f>
      </c>
      <c r="H10" s="2">
        <f>IF(C10="","",C10+30)</f>
      </c>
    </row>
    <row r="11">
      <c r="A11" s="3">
        <v>16</v>
      </c>
      <c r="B11" s="3" t="inlineStr">
        <is>
          <t xml:space="preserve">What is the job of a constructor?</t>
        </is>
      </c>
      <c r="D11" s="2">
        <f>IF(C11="","",C11+1)</f>
      </c>
      <c r="E11" s="2">
        <f>IF(C11="","",C11+3)</f>
      </c>
      <c r="F11" s="2">
        <f>IF(C11="","",C11+7)</f>
      </c>
      <c r="G11" s="2">
        <f>IF(C11="","",C11+14)</f>
      </c>
      <c r="H11" s="2">
        <f>IF(C11="","",C11+30)</f>
      </c>
    </row>
    <row r="12">
      <c r="A12" s="3">
        <v>17</v>
      </c>
      <c r="B12" s="3" t="inlineStr">
        <is>
          <t xml:space="preserve">Interface or abstract class — how do you decide?</t>
        </is>
      </c>
      <c r="D12" s="2">
        <f>IF(C12="","",C12+1)</f>
      </c>
      <c r="E12" s="2">
        <f>IF(C12="","",C12+3)</f>
      </c>
      <c r="F12" s="2">
        <f>IF(C12="","",C12+7)</f>
      </c>
      <c r="G12" s="2">
        <f>IF(C12="","",C12+14)</f>
      </c>
      <c r="H12" s="2">
        <f>IF(C12="","",C12+30)</f>
      </c>
    </row>
    <row r="13">
      <c r="A13" s="3">
        <v>18</v>
      </c>
      <c r="B13" s="3" t="inlineStr">
        <is>
          <t xml:space="preserve">Why composition over inheritance?</t>
        </is>
      </c>
      <c r="D13" s="2">
        <f>IF(C13="","",C13+1)</f>
      </c>
      <c r="E13" s="2">
        <f>IF(C13="","",C13+3)</f>
      </c>
      <c r="F13" s="2">
        <f>IF(C13="","",C13+7)</f>
      </c>
      <c r="G13" s="2">
        <f>IF(C13="","",C13+14)</f>
      </c>
      <c r="H13" s="2">
        <f>IF(C13="","",C13+30)</f>
      </c>
    </row>
    <row r="14">
      <c r="A14" s="3">
        <v>22</v>
      </c>
      <c r="B14" s="3" t="inlineStr">
        <is>
          <t xml:space="preserve">IEnumerable vs IQueryable — why does it matter for a database query?</t>
        </is>
      </c>
      <c r="D14" s="2">
        <f>IF(C14="","",C14+1)</f>
      </c>
      <c r="E14" s="2">
        <f>IF(C14="","",C14+3)</f>
      </c>
      <c r="F14" s="2">
        <f>IF(C14="","",C14+7)</f>
      </c>
      <c r="G14" s="2">
        <f>IF(C14="","",C14+14)</f>
      </c>
      <c r="H14" s="2">
        <f>IF(C14="","",C14+30)</f>
      </c>
    </row>
    <row r="15">
      <c r="A15" s="3">
        <v>23</v>
      </c>
      <c r="B15" s="3" t="inlineStr">
        <is>
          <t xml:space="preserve">What is deferred execution and give one bug it causes.</t>
        </is>
      </c>
      <c r="D15" s="2">
        <f>IF(C15="","",C15+1)</f>
      </c>
      <c r="E15" s="2">
        <f>IF(C15="","",C15+3)</f>
      </c>
      <c r="F15" s="2">
        <f>IF(C15="","",C15+7)</f>
      </c>
      <c r="G15" s="2">
        <f>IF(C15="","",C15+14)</f>
      </c>
      <c r="H15" s="2">
        <f>IF(C15="","",C15+30)</f>
      </c>
    </row>
    <row r="16">
      <c r="A16" s="3">
        <v>24</v>
      </c>
      <c r="B16" s="3" t="inlineStr">
        <is>
          <t xml:space="preserve">What does a closure allocate, and what is the loop-variable trap?</t>
        </is>
      </c>
      <c r="D16" s="2">
        <f>IF(C16="","",C16+1)</f>
      </c>
      <c r="E16" s="2">
        <f>IF(C16="","",C16+3)</f>
      </c>
      <c r="F16" s="2">
        <f>IF(C16="","",C16+7)</f>
      </c>
      <c r="G16" s="2">
        <f>IF(C16="","",C16+14)</f>
      </c>
      <c r="H16" s="2">
        <f>IF(C16="","",C16+30)</f>
      </c>
    </row>
    <row r="17">
      <c r="A17" s="3">
        <v>25</v>
      </c>
      <c r="B17" s="3" t="inlineStr">
        <is>
          <t xml:space="preserve">What is the difference between throw and throw ex?</t>
        </is>
      </c>
      <c r="D17" s="2">
        <f>IF(C17="","",C17+1)</f>
      </c>
      <c r="E17" s="2">
        <f>IF(C17="","",C17+3)</f>
      </c>
      <c r="F17" s="2">
        <f>IF(C17="","",C17+7)</f>
      </c>
      <c r="G17" s="2">
        <f>IF(C17="","",C17+14)</f>
      </c>
      <c r="H17" s="2">
        <f>IF(C17="","",C17+30)</f>
      </c>
    </row>
    <row r="18">
      <c r="A18" s="3">
        <v>29</v>
      </c>
      <c r="B18" s="3" t="inlineStr">
        <is>
          <t xml:space="preserve">Why does a finalizer make collection take (at least) two GC cycles?</t>
        </is>
      </c>
      <c r="D18" s="2">
        <f>IF(C18="","",C18+1)</f>
      </c>
      <c r="E18" s="2">
        <f>IF(C18="","",C18+3)</f>
      </c>
      <c r="F18" s="2">
        <f>IF(C18="","",C18+7)</f>
      </c>
      <c r="G18" s="2">
        <f>IF(C18="","",C18+14)</f>
      </c>
      <c r="H18" s="2">
        <f>IF(C18="","",C18+30)</f>
      </c>
    </row>
    <row r="19">
      <c r="A19" s="3">
        <v>30</v>
      </c>
      <c r="B19" s="3" t="inlineStr">
        <is>
          <t xml:space="preserve">Why is a gen 0 collection cheap and a gen 2 collection expensive?</t>
        </is>
      </c>
      <c r="D19" s="2">
        <f>IF(C19="","",C19+1)</f>
      </c>
      <c r="E19" s="2">
        <f>IF(C19="","",C19+3)</f>
      </c>
      <c r="F19" s="2">
        <f>IF(C19="","",C19+7)</f>
      </c>
      <c r="G19" s="2">
        <f>IF(C19="","",C19+14)</f>
      </c>
      <c r="H19" s="2">
        <f>IF(C19="","",C19+30)</f>
      </c>
    </row>
    <row r="20">
      <c r="A20" s="3">
        <v>31</v>
      </c>
      <c r="B20" s="3" t="inlineStr">
        <is>
          <t xml:space="preserve">What does await actually do?</t>
        </is>
      </c>
      <c r="D20" s="2">
        <f>IF(C20="","",C20+1)</f>
      </c>
      <c r="E20" s="2">
        <f>IF(C20="","",C20+3)</f>
      </c>
      <c r="F20" s="2">
        <f>IF(C20="","",C20+7)</f>
      </c>
      <c r="G20" s="2">
        <f>IF(C20="","",C20+14)</f>
      </c>
      <c r="H20" s="2">
        <f>IF(C20="","",C20+30)</f>
      </c>
    </row>
    <row r="21">
      <c r="A21" s="3">
        <v>32</v>
      </c>
      <c r="B21" s="3" t="inlineStr">
        <is>
          <t xml:space="preserve">Why does calling .Result deadlock in an app with a synchronization context?</t>
        </is>
      </c>
      <c r="D21" s="2">
        <f>IF(C21="","",C21+1)</f>
      </c>
      <c r="E21" s="2">
        <f>IF(C21="","",C21+3)</f>
      </c>
      <c r="F21" s="2">
        <f>IF(C21="","",C21+7)</f>
      </c>
      <c r="G21" s="2">
        <f>IF(C21="","",C21+14)</f>
      </c>
      <c r="H21" s="2">
        <f>IF(C21="","",C21+30)</f>
      </c>
    </row>
    <row r="22">
      <c r="A22" s="3">
        <v>36</v>
      </c>
      <c r="B22" s="3" t="inlineStr">
        <is>
          <t xml:space="preserve">What is thread-pool starvation and how would you spot it?</t>
        </is>
      </c>
      <c r="D22" s="2">
        <f>IF(C22="","",C22+1)</f>
      </c>
      <c r="E22" s="2">
        <f>IF(C22="","",C22+3)</f>
      </c>
      <c r="F22" s="2">
        <f>IF(C22="","",C22+7)</f>
      </c>
      <c r="G22" s="2">
        <f>IF(C22="","",C22+14)</f>
      </c>
      <c r="H22" s="2">
        <f>IF(C22="","",C22+30)</f>
      </c>
    </row>
    <row r="23">
      <c r="A23" s="3">
        <v>37</v>
      </c>
      <c r="B23" s="3" t="inlineStr">
        <is>
          <t xml:space="preserve">What is a race condition at the memory level?</t>
        </is>
      </c>
      <c r="D23" s="2">
        <f>IF(C23="","",C23+1)</f>
      </c>
      <c r="E23" s="2">
        <f>IF(C23="","",C23+3)</f>
      </c>
      <c r="F23" s="2">
        <f>IF(C23="","",C23+7)</f>
      </c>
      <c r="G23" s="2">
        <f>IF(C23="","",C23+14)</f>
      </c>
      <c r="H23" s="2">
        <f>IF(C23="","",C23+30)</f>
      </c>
    </row>
    <row r="24">
      <c r="A24" s="3">
        <v>38</v>
      </c>
      <c r="B24" s="3" t="inlineStr">
        <is>
          <t xml:space="preserve">What causes a deadlock and how do you prevent one?</t>
        </is>
      </c>
      <c r="D24" s="2">
        <f>IF(C24="","",C24+1)</f>
      </c>
      <c r="E24" s="2">
        <f>IF(C24="","",C24+3)</f>
      </c>
      <c r="F24" s="2">
        <f>IF(C24="","",C24+7)</f>
      </c>
      <c r="G24" s="2">
        <f>IF(C24="","",C24+14)</f>
      </c>
      <c r="H24" s="2">
        <f>IF(C24="","",C24+30)</f>
      </c>
    </row>
    <row r="25">
      <c r="A25" s="3">
        <v>39</v>
      </c>
      <c r="B25" s="3" t="inlineStr">
        <is>
          <t xml:space="preserve">When does Parallel.For hurt rather than help?</t>
        </is>
      </c>
      <c r="D25" s="2">
        <f>IF(C25="","",C25+1)</f>
      </c>
      <c r="E25" s="2">
        <f>IF(C25="","",C25+3)</f>
      </c>
      <c r="F25" s="2">
        <f>IF(C25="","",C25+7)</f>
      </c>
      <c r="G25" s="2">
        <f>IF(C25="","",C25+14)</f>
      </c>
      <c r="H25" s="2">
        <f>IF(C25="","",C25+30)</f>
      </c>
    </row>
    <row r="26">
      <c r="A26" s="3">
        <v>43</v>
      </c>
      <c r="B26" s="3" t="inlineStr">
        <is>
          <t xml:space="preserve">.NET Framework vs modern .NET in sixty seconds.</t>
        </is>
      </c>
      <c r="D26" s="2">
        <f>IF(C26="","",C26+1)</f>
      </c>
      <c r="E26" s="2">
        <f>IF(C26="","",C26+3)</f>
      </c>
      <c r="F26" s="2">
        <f>IF(C26="","",C26+7)</f>
      </c>
      <c r="G26" s="2">
        <f>IF(C26="","",C26+14)</f>
      </c>
      <c r="H26" s="2">
        <f>IF(C26="","",C26+30)</f>
      </c>
    </row>
    <row r="27">
      <c r="A27" s="3">
        <v>44</v>
      </c>
      <c r="B27" s="3" t="inlineStr">
        <is>
          <t xml:space="preserve">Trace a request from Kestrel to your controller and back.</t>
        </is>
      </c>
      <c r="D27" s="2">
        <f>IF(C27="","",C27+1)</f>
      </c>
      <c r="E27" s="2">
        <f>IF(C27="","",C27+3)</f>
      </c>
      <c r="F27" s="2">
        <f>IF(C27="","",C27+7)</f>
      </c>
      <c r="G27" s="2">
        <f>IF(C27="","",C27+14)</f>
      </c>
      <c r="H27" s="2">
        <f>IF(C27="","",C27+30)</f>
      </c>
    </row>
    <row r="28">
      <c r="A28" s="3">
        <v>45</v>
      </c>
      <c r="B28" s="3" t="inlineStr">
        <is>
          <t xml:space="preserve">Explain DI lifetimes and the captive dependency problem.</t>
        </is>
      </c>
      <c r="D28" s="2">
        <f>IF(C28="","",C28+1)</f>
      </c>
      <c r="E28" s="2">
        <f>IF(C28="","",C28+3)</f>
      </c>
      <c r="F28" s="2">
        <f>IF(C28="","",C28+7)</f>
      </c>
      <c r="G28" s="2">
        <f>IF(C28="","",C28+14)</f>
      </c>
      <c r="H28" s="2">
        <f>IF(C28="","",C28+30)</f>
      </c>
    </row>
    <row r="29">
      <c r="A29" s="3">
        <v>46</v>
      </c>
      <c r="B29" s="3" t="inlineStr">
        <is>
          <t xml:space="preserve">How does configuration precedence work?</t>
        </is>
      </c>
      <c r="D29" s="2">
        <f>IF(C29="","",C29+1)</f>
      </c>
      <c r="E29" s="2">
        <f>IF(C29="","",C29+3)</f>
      </c>
      <c r="F29" s="2">
        <f>IF(C29="","",C29+7)</f>
      </c>
      <c r="G29" s="2">
        <f>IF(C29="","",C29+14)</f>
      </c>
      <c r="H29" s="2">
        <f>IF(C29="","",C29+30)</f>
      </c>
    </row>
    <row r="30">
      <c r="A30" s="3">
        <v>50</v>
      </c>
      <c r="B30" s="3" t="inlineStr">
        <is>
          <t xml:space="preserve">Which HTTP methods are idempotent, and why does it matter?</t>
        </is>
      </c>
      <c r="D30" s="2">
        <f>IF(C30="","",C30+1)</f>
      </c>
      <c r="E30" s="2">
        <f>IF(C30="","",C30+3)</f>
      </c>
      <c r="F30" s="2">
        <f>IF(C30="","",C30+7)</f>
      </c>
      <c r="G30" s="2">
        <f>IF(C30="","",C30+14)</f>
      </c>
      <c r="H30" s="2">
        <f>IF(C30="","",C30+30)</f>
      </c>
    </row>
    <row r="31">
      <c r="A31" s="3">
        <v>51</v>
      </c>
      <c r="B31" s="3" t="inlineStr">
        <is>
          <t xml:space="preserve">What is inside a JWT, and what is the difference between signing and encryption?</t>
        </is>
      </c>
      <c r="D31" s="2">
        <f>IF(C31="","",C31+1)</f>
      </c>
      <c r="E31" s="2">
        <f>IF(C31="","",C31+3)</f>
      </c>
      <c r="F31" s="2">
        <f>IF(C31="","",C31+7)</f>
      </c>
      <c r="G31" s="2">
        <f>IF(C31="","",C31+14)</f>
      </c>
      <c r="H31" s="2">
        <f>IF(C31="","",C31+30)</f>
      </c>
    </row>
    <row r="32">
      <c r="A32" s="3">
        <v>52</v>
      </c>
      <c r="B32" s="3" t="inlineStr">
        <is>
          <t xml:space="preserve">What is the N+1 problem, how do you find it, and how do you fix it?</t>
        </is>
      </c>
      <c r="D32" s="2">
        <f>IF(C32="","",C32+1)</f>
      </c>
      <c r="E32" s="2">
        <f>IF(C32="","",C32+3)</f>
      </c>
      <c r="F32" s="2">
        <f>IF(C32="","",C32+7)</f>
      </c>
      <c r="G32" s="2">
        <f>IF(C32="","",C32+14)</f>
      </c>
      <c r="H32" s="2">
        <f>IF(C32="","",C32+30)</f>
      </c>
    </row>
    <row r="33">
      <c r="A33" s="3">
        <v>53</v>
      </c>
      <c r="B33" s="3" t="inlineStr">
        <is>
          <t xml:space="preserve">Compare cache-aside, write-through and write-behind.</t>
        </is>
      </c>
      <c r="D33" s="2">
        <f>IF(C33="","",C33+1)</f>
      </c>
      <c r="E33" s="2">
        <f>IF(C33="","",C33+3)</f>
      </c>
      <c r="F33" s="2">
        <f>IF(C33="","",C33+7)</f>
      </c>
      <c r="G33" s="2">
        <f>IF(C33="","",C33+14)</f>
      </c>
      <c r="H33" s="2">
        <f>IF(C33="","",C33+30)</f>
      </c>
    </row>
    <row r="34">
      <c r="A34" s="3">
        <v>57</v>
      </c>
      <c r="B34" s="3" t="inlineStr">
        <is>
          <t xml:space="preserve">When would you denormalise on purpose?</t>
        </is>
      </c>
      <c r="D34" s="2">
        <f>IF(C34="","",C34+1)</f>
      </c>
      <c r="E34" s="2">
        <f>IF(C34="","",C34+3)</f>
      </c>
      <c r="F34" s="2">
        <f>IF(C34="","",C34+7)</f>
      </c>
      <c r="G34" s="2">
        <f>IF(C34="","",C34+14)</f>
      </c>
      <c r="H34" s="2">
        <f>IF(C34="","",C34+30)</f>
      </c>
    </row>
    <row r="35">
      <c r="A35" s="3">
        <v>58</v>
      </c>
      <c r="B35" s="3" t="inlineStr">
        <is>
          <t xml:space="preserve">Why does an index make reads faster and writes slower?</t>
        </is>
      </c>
      <c r="D35" s="2">
        <f>IF(C35="","",C35+1)</f>
      </c>
      <c r="E35" s="2">
        <f>IF(C35="","",C35+3)</f>
      </c>
      <c r="F35" s="2">
        <f>IF(C35="","",C35+7)</f>
      </c>
      <c r="G35" s="2">
        <f>IF(C35="","",C35+14)</f>
      </c>
      <c r="H35" s="2">
        <f>IF(C35="","",C35+30)</f>
      </c>
    </row>
    <row r="36">
      <c r="A36" s="3">
        <v>59</v>
      </c>
      <c r="B36" s="3" t="inlineStr">
        <is>
          <t xml:space="preserve">Why can WHERE YEAR(created) = 2026 not use an index?</t>
        </is>
      </c>
      <c r="D36" s="2">
        <f>IF(C36="","",C36+1)</f>
      </c>
      <c r="E36" s="2">
        <f>IF(C36="","",C36+3)</f>
      </c>
      <c r="F36" s="2">
        <f>IF(C36="","",C36+7)</f>
      </c>
      <c r="G36" s="2">
        <f>IF(C36="","",C36+14)</f>
      </c>
      <c r="H36" s="2">
        <f>IF(C36="","",C36+30)</f>
      </c>
    </row>
    <row r="37">
      <c r="A37" s="3">
        <v>60</v>
      </c>
      <c r="B37" s="3" t="inlineStr">
        <is>
          <t xml:space="preserve">What is the logical execution order of a SQL statement?</t>
        </is>
      </c>
      <c r="D37" s="2">
        <f>IF(C37="","",C37+1)</f>
      </c>
      <c r="E37" s="2">
        <f>IF(C37="","",C37+3)</f>
      </c>
      <c r="F37" s="2">
        <f>IF(C37="","",C37+7)</f>
      </c>
      <c r="G37" s="2">
        <f>IF(C37="","",C37+14)</f>
      </c>
      <c r="H37" s="2">
        <f>IF(C37="","",C37+30)</f>
      </c>
    </row>
    <row r="38">
      <c r="A38" s="3">
        <v>64</v>
      </c>
      <c r="B38" s="3" t="inlineStr">
        <is>
          <t xml:space="preserve">State the four ACID properties and what each protects.</t>
        </is>
      </c>
      <c r="D38" s="2">
        <f>IF(C38="","",C38+1)</f>
      </c>
      <c r="E38" s="2">
        <f>IF(C38="","",C38+3)</f>
      </c>
      <c r="F38" s="2">
        <f>IF(C38="","",C38+7)</f>
      </c>
      <c r="G38" s="2">
        <f>IF(C38="","",C38+14)</f>
      </c>
      <c r="H38" s="2">
        <f>IF(C38="","",C38+30)</f>
      </c>
    </row>
    <row r="39">
      <c r="A39" s="3">
        <v>65</v>
      </c>
      <c r="B39" s="3" t="inlineStr">
        <is>
          <t xml:space="preserve">What is write skew, and why does snapshot isolation permit it?</t>
        </is>
      </c>
      <c r="D39" s="2">
        <f>IF(C39="","",C39+1)</f>
      </c>
      <c r="E39" s="2">
        <f>IF(C39="","",C39+3)</f>
      </c>
      <c r="F39" s="2">
        <f>IF(C39="","",C39+7)</f>
      </c>
      <c r="G39" s="2">
        <f>IF(C39="","",C39+14)</f>
      </c>
      <c r="H39" s="2">
        <f>IF(C39="","",C39+30)</f>
      </c>
    </row>
    <row r="40">
      <c r="A40" s="3">
        <v>66</v>
      </c>
      <c r="B40" s="3" t="inlineStr">
        <is>
          <t xml:space="preserve">Optimistic or pessimistic locking — when each?</t>
        </is>
      </c>
      <c r="D40" s="2">
        <f>IF(C40="","",C40+1)</f>
      </c>
      <c r="E40" s="2">
        <f>IF(C40="","",C40+3)</f>
      </c>
      <c r="F40" s="2">
        <f>IF(C40="","",C40+7)</f>
      </c>
      <c r="G40" s="2">
        <f>IF(C40="","",C40+14)</f>
      </c>
      <c r="H40" s="2">
        <f>IF(C40="","",C40+30)</f>
      </c>
    </row>
    <row r="41">
      <c r="A41" s="3">
        <v>67</v>
      </c>
      <c r="B41" s="3" t="inlineStr">
        <is>
          <t xml:space="preserve">How do you change a schema without downtime?</t>
        </is>
      </c>
      <c r="D41" s="2">
        <f>IF(C41="","",C41+1)</f>
      </c>
      <c r="E41" s="2">
        <f>IF(C41="","",C41+3)</f>
      </c>
      <c r="F41" s="2">
        <f>IF(C41="","",C41+7)</f>
      </c>
      <c r="G41" s="2">
        <f>IF(C41="","",C41+14)</f>
      </c>
      <c r="H41" s="2">
        <f>IF(C41="","",C41+30)</f>
      </c>
    </row>
    <row r="42">
      <c r="A42" s="3">
        <v>71</v>
      </c>
      <c r="B42" s="3" t="inlineStr">
        <is>
          <t xml:space="preserve">What happens when you type a URL and press enter? (5-minute version)</t>
        </is>
      </c>
      <c r="D42" s="2">
        <f>IF(C42="","",C42+1)</f>
      </c>
      <c r="E42" s="2">
        <f>IF(C42="","",C42+3)</f>
      </c>
      <c r="F42" s="2">
        <f>IF(C42="","",C42+7)</f>
      </c>
      <c r="G42" s="2">
        <f>IF(C42="","",C42+14)</f>
      </c>
      <c r="H42" s="2">
        <f>IF(C42="","",C42+30)</f>
      </c>
    </row>
    <row r="43">
      <c r="A43" s="3">
        <v>72</v>
      </c>
      <c r="B43" s="3" t="inlineStr">
        <is>
          <t xml:space="preserve">Flow control or congestion control — what is the difference?</t>
        </is>
      </c>
      <c r="D43" s="2">
        <f>IF(C43="","",C43+1)</f>
      </c>
      <c r="E43" s="2">
        <f>IF(C43="","",C43+3)</f>
      </c>
      <c r="F43" s="2">
        <f>IF(C43="","",C43+7)</f>
      </c>
      <c r="G43" s="2">
        <f>IF(C43="","",C43+14)</f>
      </c>
      <c r="H43" s="2">
        <f>IF(C43="","",C43+30)</f>
      </c>
    </row>
    <row r="44">
      <c r="A44" s="3">
        <v>73</v>
      </c>
      <c r="B44" s="3" t="inlineStr">
        <is>
          <t xml:space="preserve">Explain CORS and preflight (with the corrected middleware order).</t>
        </is>
      </c>
      <c r="D44" s="2">
        <f>IF(C44="","",C44+1)</f>
      </c>
      <c r="E44" s="2">
        <f>IF(C44="","",C44+3)</f>
      </c>
      <c r="F44" s="2">
        <f>IF(C44="","",C44+7)</f>
      </c>
      <c r="G44" s="2">
        <f>IF(C44="","",C44+14)</f>
      </c>
      <c r="H44" s="2">
        <f>IF(C44="","",C44+30)</f>
      </c>
    </row>
    <row r="45">
      <c r="A45" s="3">
        <v>74</v>
      </c>
      <c r="B45" s="3" t="inlineStr">
        <is>
          <t xml:space="preserve">Why is a context switch expensive?</t>
        </is>
      </c>
      <c r="D45" s="2">
        <f>IF(C45="","",C45+1)</f>
      </c>
      <c r="E45" s="2">
        <f>IF(C45="","",C45+3)</f>
      </c>
      <c r="F45" s="2">
        <f>IF(C45="","",C45+7)</f>
      </c>
      <c r="G45" s="2">
        <f>IF(C45="","",C45+14)</f>
      </c>
      <c r="H45" s="2">
        <f>IF(C45="","",C45+30)</f>
      </c>
    </row>
    <row r="46">
      <c r="A46" s="3">
        <v>78</v>
      </c>
      <c r="B46" s="3" t="inlineStr">
        <is>
          <t xml:space="preserve">Why does async I/O not need a thread while waiting?</t>
        </is>
      </c>
      <c r="D46" s="2">
        <f>IF(C46="","",C46+1)</f>
      </c>
      <c r="E46" s="2">
        <f>IF(C46="","",C46+3)</f>
      </c>
      <c r="F46" s="2">
        <f>IF(C46="","",C46+7)</f>
      </c>
      <c r="G46" s="2">
        <f>IF(C46="","",C46+14)</f>
      </c>
      <c r="H46" s="2">
        <f>IF(C46="","",C46+30)</f>
      </c>
    </row>
    <row r="47">
      <c r="A47" s="3">
        <v>79</v>
      </c>
      <c r="B47" s="3" t="inlineStr">
        <is>
          <t xml:space="preserve">Explain the delivery guarantees, and how you get exactly-once *processing*.</t>
        </is>
      </c>
      <c r="D47" s="2">
        <f>IF(C47="","",C47+1)</f>
      </c>
      <c r="E47" s="2">
        <f>IF(C47="","",C47+3)</f>
      </c>
      <c r="F47" s="2">
        <f>IF(C47="","",C47+7)</f>
      </c>
      <c r="G47" s="2">
        <f>IF(C47="","",C47+14)</f>
      </c>
      <c r="H47" s="2">
        <f>IF(C47="","",C47+30)</f>
      </c>
    </row>
    <row r="48">
      <c r="A48" s="3">
        <v>80</v>
      </c>
      <c r="B48" s="3" t="inlineStr">
        <is>
          <t xml:space="preserve">SQS, RabbitMQ or Kafka — how do you choose?</t>
        </is>
      </c>
      <c r="D48" s="2">
        <f>IF(C48="","",C48+1)</f>
      </c>
      <c r="E48" s="2">
        <f>IF(C48="","",C48+3)</f>
      </c>
      <c r="F48" s="2">
        <f>IF(C48="","",C48+7)</f>
      </c>
      <c r="G48" s="2">
        <f>IF(C48="","",C48+14)</f>
      </c>
      <c r="H48" s="2">
        <f>IF(C48="","",C48+30)</f>
      </c>
    </row>
    <row r="49">
      <c r="A49" s="3">
        <v>81</v>
      </c>
      <c r="B49" s="3" t="inlineStr">
        <is>
          <t xml:space="preserve">What is the outbox pattern and what problem does it solve?</t>
        </is>
      </c>
      <c r="D49" s="2">
        <f>IF(C49="","",C49+1)</f>
      </c>
      <c r="E49" s="2">
        <f>IF(C49="","",C49+3)</f>
      </c>
      <c r="F49" s="2">
        <f>IF(C49="","",C49+7)</f>
      </c>
      <c r="G49" s="2">
        <f>IF(C49="","",C49+14)</f>
      </c>
      <c r="H49" s="2">
        <f>IF(C49="","",C49+30)</f>
      </c>
    </row>
    <row r="50">
      <c r="A50" s="3">
        <v>85</v>
      </c>
      <c r="B50" s="3" t="inlineStr">
        <is>
          <t xml:space="preserve">Why can a read replica serve stale data, and how do you hide that from a user?</t>
        </is>
      </c>
      <c r="D50" s="2">
        <f>IF(C50="","",C50+1)</f>
      </c>
      <c r="E50" s="2">
        <f>IF(C50="","",C50+3)</f>
      </c>
      <c r="F50" s="2">
        <f>IF(C50="","",C50+7)</f>
      </c>
      <c r="G50" s="2">
        <f>IF(C50="","",C50+14)</f>
      </c>
      <c r="H50" s="2">
        <f>IF(C50="","",C50+30)</f>
      </c>
    </row>
    <row r="51">
      <c r="A51" s="3">
        <v>86</v>
      </c>
      <c r="B51" s="3" t="inlineStr">
        <is>
          <t xml:space="preserve">What does CAP actually say, and what is the common misreading?</t>
        </is>
      </c>
      <c r="D51" s="2">
        <f>IF(C51="","",C51+1)</f>
      </c>
      <c r="E51" s="2">
        <f>IF(C51="","",C51+3)</f>
      </c>
      <c r="F51" s="2">
        <f>IF(C51="","",C51+7)</f>
      </c>
      <c r="G51" s="2">
        <f>IF(C51="","",C51+14)</f>
      </c>
      <c r="H51" s="2">
        <f>IF(C51="","",C51+30)</f>
      </c>
    </row>
    <row r="52">
      <c r="A52" s="3">
        <v>87</v>
      </c>
      <c r="B52" s="3" t="inlineStr">
        <is>
          <t xml:space="preserve">Why is Redis being single-threaded a feature?</t>
        </is>
      </c>
      <c r="D52" s="2">
        <f>IF(C52="","",C52+1)</f>
      </c>
      <c r="E52" s="2">
        <f>IF(C52="","",C52+3)</f>
      </c>
      <c r="F52" s="2">
        <f>IF(C52="","",C52+7)</f>
      </c>
      <c r="G52" s="2">
        <f>IF(C52="","",C52+14)</f>
      </c>
      <c r="H52" s="2">
        <f>IF(C52="","",C52+30)</f>
      </c>
    </row>
    <row r="53">
      <c r="A53" s="3">
        <v>88</v>
      </c>
      <c r="B53" s="3" t="inlineStr">
        <is>
          <t xml:space="preserve">L4 vs L7 load balancer?</t>
        </is>
      </c>
      <c r="D53" s="2">
        <f>IF(C53="","",C53+1)</f>
      </c>
      <c r="E53" s="2">
        <f>IF(C53="","",C53+3)</f>
      </c>
      <c r="F53" s="2">
        <f>IF(C53="","",C53+7)</f>
      </c>
      <c r="G53" s="2">
        <f>IF(C53="","",C53+14)</f>
      </c>
      <c r="H53" s="2">
        <f>IF(C53="","",C53+30)</f>
      </c>
    </row>
    <row r="54">
      <c r="A54" s="3">
        <v>92</v>
      </c>
      <c r="B54" s="3" t="inlineStr">
        <is>
          <t xml:space="preserve">Explain Single Responsibility without reciting the definition.</t>
        </is>
      </c>
      <c r="D54" s="2">
        <f>IF(C54="","",C54+1)</f>
      </c>
      <c r="E54" s="2">
        <f>IF(C54="","",C54+3)</f>
      </c>
      <c r="F54" s="2">
        <f>IF(C54="","",C54+7)</f>
      </c>
      <c r="G54" s="2">
        <f>IF(C54="","",C54+14)</f>
      </c>
      <c r="H54" s="2">
        <f>IF(C54="","",C54+30)</f>
      </c>
    </row>
    <row r="55">
      <c r="A55" s="3">
        <v>93</v>
      </c>
      <c r="B55" s="3" t="inlineStr">
        <is>
          <t xml:space="preserve">Why is Dependency Inversion not the same as using a DI container?</t>
        </is>
      </c>
      <c r="D55" s="2">
        <f>IF(C55="","",C55+1)</f>
      </c>
      <c r="E55" s="2">
        <f>IF(C55="","",C55+3)</f>
      </c>
      <c r="F55" s="2">
        <f>IF(C55="","",C55+7)</f>
      </c>
      <c r="G55" s="2">
        <f>IF(C55="","",C55+14)</f>
      </c>
      <c r="H55" s="2">
        <f>IF(C55="","",C55+30)</f>
      </c>
    </row>
    <row r="56">
      <c r="A56" s="3">
        <v>94</v>
      </c>
      <c r="B56" s="3" t="inlineStr">
        <is>
          <t xml:space="preserve">Decorator or inheritance?</t>
        </is>
      </c>
      <c r="D56" s="2">
        <f>IF(C56="","",C56+1)</f>
      </c>
      <c r="E56" s="2">
        <f>IF(C56="","",C56+3)</f>
      </c>
      <c r="F56" s="2">
        <f>IF(C56="","",C56+7)</f>
      </c>
      <c r="G56" s="2">
        <f>IF(C56="","",C56+14)</f>
      </c>
      <c r="H56" s="2">
        <f>IF(C56="","",C56+30)</f>
      </c>
    </row>
    <row r="57">
      <c r="A57" s="3">
        <v>95</v>
      </c>
      <c r="B57" s="3" t="inlineStr">
        <is>
          <t xml:space="preserve">Why is untestable code usually badly designed code?</t>
        </is>
      </c>
      <c r="D57" s="2">
        <f>IF(C57="","",C57+1)</f>
      </c>
      <c r="E57" s="2">
        <f>IF(C57="","",C57+3)</f>
      </c>
      <c r="F57" s="2">
        <f>IF(C57="","",C57+7)</f>
      </c>
      <c r="G57" s="2">
        <f>IF(C57="","",C57+14)</f>
      </c>
      <c r="H57" s="2">
        <f>IF(C57="","",C57+30)</f>
      </c>
    </row>
    <row r="58">
      <c r="A58" s="3">
        <v>99</v>
      </c>
      <c r="B58" s="3" t="inlineStr">
        <is>
          <t xml:space="preserve">Why is 'authenticated' not the same as 'authorized'?</t>
        </is>
      </c>
      <c r="D58" s="2">
        <f>IF(C58="","",C58+1)</f>
      </c>
      <c r="E58" s="2">
        <f>IF(C58="","",C58+3)</f>
      </c>
      <c r="F58" s="2">
        <f>IF(C58="","",C58+7)</f>
      </c>
      <c r="G58" s="2">
        <f>IF(C58="","",C58+14)</f>
      </c>
      <c r="H58" s="2">
        <f>IF(C58="","",C58+30)</f>
      </c>
    </row>
    <row r="59">
      <c r="A59" s="3">
        <v>100</v>
      </c>
      <c r="B59" s="3" t="inlineStr">
        <is>
          <t xml:space="preserve">How do you prove tenant isolation rather than assert it?</t>
        </is>
      </c>
      <c r="D59" s="2">
        <f>IF(C59="","",C59+1)</f>
      </c>
      <c r="E59" s="2">
        <f>IF(C59="","",C59+3)</f>
      </c>
      <c r="F59" s="2">
        <f>IF(C59="","",C59+7)</f>
      </c>
      <c r="G59" s="2">
        <f>IF(C59="","",C59+14)</f>
      </c>
      <c r="H59" s="2">
        <f>IF(C59="","",C59+30)</f>
      </c>
    </row>
    <row r="60">
      <c r="A60" s="3">
        <v>101</v>
      </c>
      <c r="B60" s="3" t="inlineStr">
        <is>
          <t xml:space="preserve">What is mass assignment and how do DTOs prevent it?</t>
        </is>
      </c>
      <c r="D60" s="2">
        <f>IF(C60="","",C60+1)</f>
      </c>
      <c r="E60" s="2">
        <f>IF(C60="","",C60+3)</f>
      </c>
      <c r="F60" s="2">
        <f>IF(C60="","",C60+7)</f>
      </c>
      <c r="G60" s="2">
        <f>IF(C60="","",C60+14)</f>
      </c>
      <c r="H60" s="2">
        <f>IF(C60="","",C60+30)</f>
      </c>
    </row>
    <row r="61">
      <c r="A61" s="3">
        <v>102</v>
      </c>
      <c r="B61" s="3" t="inlineStr">
        <is>
          <t xml:space="preserve">Why is CORS not a CSRF defence?</t>
        </is>
      </c>
      <c r="D61" s="2">
        <f>IF(C61="","",C61+1)</f>
      </c>
      <c r="E61" s="2">
        <f>IF(C61="","",C61+3)</f>
      </c>
      <c r="F61" s="2">
        <f>IF(C61="","",C61+7)</f>
      </c>
      <c r="G61" s="2">
        <f>IF(C61="","",C61+14)</f>
      </c>
      <c r="H61" s="2">
        <f>IF(C61="","",C61+30)</f>
      </c>
    </row>
    <row r="62">
      <c r="A62" s="3">
        <v>106</v>
      </c>
      <c r="B62" s="3" t="inlineStr">
        <is>
          <t xml:space="preserve">Why do multi-stage Docker builds matter?</t>
        </is>
      </c>
      <c r="D62" s="2">
        <f>IF(C62="","",C62+1)</f>
      </c>
      <c r="E62" s="2">
        <f>IF(C62="","",C62+3)</f>
      </c>
      <c r="F62" s="2">
        <f>IF(C62="","",C62+7)</f>
      </c>
      <c r="G62" s="2">
        <f>IF(C62="","",C62+14)</f>
      </c>
      <c r="H62" s="2">
        <f>IF(C62="","",C62+30)</f>
      </c>
    </row>
    <row r="63">
      <c r="A63" s="3">
        <v>107</v>
      </c>
      <c r="B63" s="3" t="inlineStr">
        <is>
          <t xml:space="preserve">Why is 'localhost' inside a container not your machine?</t>
        </is>
      </c>
      <c r="D63" s="2">
        <f>IF(C63="","",C63+1)</f>
      </c>
      <c r="E63" s="2">
        <f>IF(C63="","",C63+3)</f>
      </c>
      <c r="F63" s="2">
        <f>IF(C63="","",C63+7)</f>
      </c>
      <c r="G63" s="2">
        <f>IF(C63="","",C63+14)</f>
      </c>
      <c r="H63" s="2">
        <f>IF(C63="","",C63+30)</f>
      </c>
    </row>
    <row r="64">
      <c r="A64" s="3">
        <v>108</v>
      </c>
      <c r="B64" s="3" t="inlineStr">
        <is>
          <t xml:space="preserve">What does your CI pipeline protect against, stage by stage?</t>
        </is>
      </c>
      <c r="D64" s="2">
        <f>IF(C64="","",C64+1)</f>
      </c>
      <c r="E64" s="2">
        <f>IF(C64="","",C64+3)</f>
      </c>
      <c r="F64" s="2">
        <f>IF(C64="","",C64+7)</f>
      </c>
      <c r="G64" s="2">
        <f>IF(C64="","",C64+14)</f>
      </c>
      <c r="H64" s="2">
        <f>IF(C64="","",C64+30)</f>
      </c>
    </row>
    <row r="65">
      <c r="A65" s="3">
        <v>109</v>
      </c>
      <c r="B65" s="3" t="inlineStr">
        <is>
          <t xml:space="preserve">Liveness or readiness — what is the difference and why does it matter?</t>
        </is>
      </c>
      <c r="D65" s="2">
        <f>IF(C65="","",C65+1)</f>
      </c>
      <c r="E65" s="2">
        <f>IF(C65="","",C65+3)</f>
      </c>
      <c r="F65" s="2">
        <f>IF(C65="","",C65+7)</f>
      </c>
      <c r="G65" s="2">
        <f>IF(C65="","",C65+14)</f>
      </c>
      <c r="H65" s="2">
        <f>IF(C65="","",C65+30)</f>
      </c>
    </row>
    <row r="66">
      <c r="A66" s="3">
        <v>113</v>
      </c>
      <c r="B66" s="3" t="inlineStr">
        <is>
          <t xml:space="preserve">Why is two-phase commit avoided across services?</t>
        </is>
      </c>
      <c r="D66" s="2">
        <f>IF(C66="","",C66+1)</f>
      </c>
      <c r="E66" s="2">
        <f>IF(C66="","",C66+3)</f>
      </c>
      <c r="F66" s="2">
        <f>IF(C66="","",C66+7)</f>
      </c>
      <c r="G66" s="2">
        <f>IF(C66="","",C66+14)</f>
      </c>
      <c r="H66" s="2">
        <f>IF(C66="","",C66+30)</f>
      </c>
    </row>
    <row r="67">
      <c r="A67" s="3">
        <v>114</v>
      </c>
      <c r="B67" s="3" t="inlineStr">
        <is>
          <t xml:space="preserve">Why can a distributed lock not be made safe with timeouts alone?</t>
        </is>
      </c>
      <c r="D67" s="2">
        <f>IF(C67="","",C67+1)</f>
      </c>
      <c r="E67" s="2">
        <f>IF(C67="","",C67+3)</f>
      </c>
      <c r="F67" s="2">
        <f>IF(C67="","",C67+7)</f>
      </c>
      <c r="G67" s="2">
        <f>IF(C67="","",C67+14)</f>
      </c>
      <c r="H67" s="2">
        <f>IF(C67="","",C67+30)</f>
      </c>
    </row>
    <row r="68">
      <c r="A68" s="3">
        <v>115</v>
      </c>
      <c r="B68" s="3" t="inlineStr">
        <is>
          <t xml:space="preserve">Choreography or orchestration for a saga?</t>
        </is>
      </c>
      <c r="D68" s="2">
        <f>IF(C68="","",C68+1)</f>
      </c>
      <c r="E68" s="2">
        <f>IF(C68="","",C68+3)</f>
      </c>
      <c r="F68" s="2">
        <f>IF(C68="","",C68+7)</f>
      </c>
      <c r="G68" s="2">
        <f>IF(C68="","",C68+14)</f>
      </c>
      <c r="H68" s="2">
        <f>IF(C68="","",C68+30)</f>
      </c>
    </row>
    <row r="69">
      <c r="A69" s="3">
        <v>116</v>
      </c>
      <c r="B69" s="3" t="inlineStr">
        <is>
          <t xml:space="preserve">Explain circuit-breaker states and why retries alone amplify an outage.</t>
        </is>
      </c>
      <c r="D69" s="2">
        <f>IF(C69="","",C69+1)</f>
      </c>
      <c r="E69" s="2">
        <f>IF(C69="","",C69+3)</f>
      </c>
      <c r="F69" s="2">
        <f>IF(C69="","",C69+7)</f>
      </c>
      <c r="G69" s="2">
        <f>IF(C69="","",C69+14)</f>
      </c>
      <c r="H69" s="2">
        <f>IF(C69="","",C69+30)</f>
      </c>
    </row>
    <row r="70">
      <c r="A70" s="3">
        <v>120</v>
      </c>
      <c r="B70" s="3" t="inlineStr">
        <is>
          <t xml:space="preserve">What are RED and USE?</t>
        </is>
      </c>
      <c r="D70" s="2">
        <f>IF(C70="","",C70+1)</f>
      </c>
      <c r="E70" s="2">
        <f>IF(C70="","",C70+3)</f>
      </c>
      <c r="F70" s="2">
        <f>IF(C70="","",C70+7)</f>
      </c>
      <c r="G70" s="2">
        <f>IF(C70="","",C70+14)</f>
      </c>
      <c r="H70" s="2">
        <f>IF(C70="","",C70+30)</f>
      </c>
    </row>
    <row r="71">
      <c r="A71" s="3">
        <v>121</v>
      </c>
      <c r="B71" s="3" t="inlineStr">
        <is>
          <t xml:space="preserve">What do p50, p95 and p99 tell you, and why not the average?</t>
        </is>
      </c>
      <c r="D71" s="2">
        <f>IF(C71="","",C71+1)</f>
      </c>
      <c r="E71" s="2">
        <f>IF(C71="","",C71+3)</f>
      </c>
      <c r="F71" s="2">
        <f>IF(C71="","",C71+7)</f>
      </c>
      <c r="G71" s="2">
        <f>IF(C71="","",C71+14)</f>
      </c>
      <c r="H71" s="2">
        <f>IF(C71="","",C71+30)</f>
      </c>
    </row>
    <row r="72">
      <c r="A72" s="3">
        <v>122</v>
      </c>
      <c r="B72" s="3" t="inlineStr">
        <is>
          <t xml:space="preserve">What does least privilege mean in IAM?</t>
        </is>
      </c>
      <c r="D72" s="2">
        <f>IF(C72="","",C72+1)</f>
      </c>
      <c r="E72" s="2">
        <f>IF(C72="","",C72+3)</f>
      </c>
      <c r="F72" s="2">
        <f>IF(C72="","",C72+7)</f>
      </c>
      <c r="G72" s="2">
        <f>IF(C72="","",C72+14)</f>
      </c>
      <c r="H72" s="2">
        <f>IF(C72="","",C72+30)</f>
      </c>
    </row>
    <row r="73">
      <c r="A73" s="3">
        <v>123</v>
      </c>
      <c r="B73" s="3" t="inlineStr">
        <is>
          <t xml:space="preserve">How do you stop one tenant starving the others?</t>
        </is>
      </c>
      <c r="D73" s="2">
        <f>IF(C73="","",C73+1)</f>
      </c>
      <c r="E73" s="2">
        <f>IF(C73="","",C73+3)</f>
      </c>
      <c r="F73" s="2">
        <f>IF(C73="","",C73+7)</f>
      </c>
      <c r="G73" s="2">
        <f>IF(C73="","",C73+14)</f>
      </c>
      <c r="H73" s="2">
        <f>IF(C73="","",C73+30)</f>
      </c>
    </row>
    <row r="74">
      <c r="A74" s="3">
        <v>127</v>
      </c>
      <c r="B74" s="3" t="inlineStr">
        <is>
          <t xml:space="preserve">Why separate job acceptance latency from job completion time?</t>
        </is>
      </c>
      <c r="D74" s="2">
        <f>IF(C74="","",C74+1)</f>
      </c>
      <c r="E74" s="2">
        <f>IF(C74="","",C74+3)</f>
      </c>
      <c r="F74" s="2">
        <f>IF(C74="","",C74+7)</f>
      </c>
      <c r="G74" s="2">
        <f>IF(C74="","",C74+14)</f>
      </c>
      <c r="H74" s="2">
        <f>IF(C74="","",C74+30)</f>
      </c>
    </row>
    <row r="75">
      <c r="A75" s="3">
        <v>128</v>
      </c>
      <c r="B75" s="3" t="inlineStr">
        <is>
          <t xml:space="preserve">A latency spike with low CPU — what do you check first?</t>
        </is>
      </c>
      <c r="D75" s="2">
        <f>IF(C75="","",C75+1)</f>
      </c>
      <c r="E75" s="2">
        <f>IF(C75="","",C75+3)</f>
      </c>
      <c r="F75" s="2">
        <f>IF(C75="","",C75+7)</f>
      </c>
      <c r="G75" s="2">
        <f>IF(C75="","",C75+14)</f>
      </c>
      <c r="H75" s="2">
        <f>IF(C75="","",C75+30)</f>
      </c>
    </row>
    <row r="76">
      <c r="A76" s="3">
        <v>129</v>
      </c>
      <c r="B76" s="3" t="inlineStr">
        <is>
          <t xml:space="preserve">What are RPO and RTO?</t>
        </is>
      </c>
      <c r="D76" s="2">
        <f>IF(C76="","",C76+1)</f>
      </c>
      <c r="E76" s="2">
        <f>IF(C76="","",C76+3)</f>
      </c>
      <c r="F76" s="2">
        <f>IF(C76="","",C76+7)</f>
      </c>
      <c r="G76" s="2">
        <f>IF(C76="","",C76+14)</f>
      </c>
      <c r="H76" s="2">
        <f>IF(C76="","",C76+30)</f>
      </c>
    </row>
    <row r="77">
      <c r="A77" s="3">
        <v>130</v>
      </c>
      <c r="B77" s="3" t="inlineStr">
        <is>
          <t xml:space="preserve">Walk me through exactly what happens when a worker dies mid-job.</t>
        </is>
      </c>
      <c r="D77" s="2">
        <f>IF(C77="","",C77+1)</f>
      </c>
      <c r="E77" s="2">
        <f>IF(C77="","",C77+3)</f>
      </c>
      <c r="F77" s="2">
        <f>IF(C77="","",C77+7)</f>
      </c>
      <c r="G77" s="2">
        <f>IF(C77="","",C77+14)</f>
      </c>
      <c r="H77" s="2">
        <f>IF(C77="","",C77+30)</f>
      </c>
    </row>
    <row r="78">
      <c r="A78" s="3">
        <v>134</v>
      </c>
      <c r="B78" s="3" t="inlineStr">
        <is>
          <t xml:space="preserve">What are the design steps, in order?</t>
        </is>
      </c>
      <c r="D78" s="2">
        <f>IF(C78="","",C78+1)</f>
      </c>
      <c r="E78" s="2">
        <f>IF(C78="","",C78+3)</f>
      </c>
      <c r="F78" s="2">
        <f>IF(C78="","",C78+7)</f>
      </c>
      <c r="G78" s="2">
        <f>IF(C78="","",C78+14)</f>
      </c>
      <c r="H78" s="2">
        <f>IF(C78="","",C78+30)</f>
      </c>
    </row>
    <row r="79">
      <c r="A79" s="3">
        <v>135</v>
      </c>
      <c r="B79" s="3" t="inlineStr">
        <is>
          <t xml:space="preserve">Why are payment systems obsessed with idempotency?</t>
        </is>
      </c>
      <c r="D79" s="2">
        <f>IF(C79="","",C79+1)</f>
      </c>
      <c r="E79" s="2">
        <f>IF(C79="","",C79+3)</f>
      </c>
      <c r="F79" s="2">
        <f>IF(C79="","",C79+7)</f>
      </c>
      <c r="G79" s="2">
        <f>IF(C79="","",C79+14)</f>
      </c>
      <c r="H79" s="2">
        <f>IF(C79="","",C79+30)</f>
      </c>
    </row>
    <row r="80">
      <c r="A80" s="3">
        <v>136</v>
      </c>
      <c r="B80" s="3" t="inlineStr">
        <is>
          <t xml:space="preserve">Why does saying 'we' cost you the answer?</t>
        </is>
      </c>
      <c r="D80" s="2">
        <f>IF(C80="","",C80+1)</f>
      </c>
      <c r="E80" s="2">
        <f>IF(C80="","",C80+3)</f>
      </c>
      <c r="F80" s="2">
        <f>IF(C80="","",C80+7)</f>
      </c>
      <c r="G80" s="2">
        <f>IF(C80="","",C80+14)</f>
      </c>
      <c r="H80" s="2">
        <f>IF(C80="","",C80+30)</f>
      </c>
    </row>
    <row r="81">
      <c r="A81" s="3">
        <v>137</v>
      </c>
      <c r="B81" s="3" t="inlineStr">
        <is>
          <t xml:space="preserve">How do you answer 'what would you do differently?'</t>
        </is>
      </c>
      <c r="D81" s="2">
        <f>IF(C81="","",C81+1)</f>
      </c>
      <c r="E81" s="2">
        <f>IF(C81="","",C81+3)</f>
      </c>
      <c r="F81" s="2">
        <f>IF(C81="","",C81+7)</f>
      </c>
      <c r="G81" s="2">
        <f>IF(C81="","",C81+14)</f>
      </c>
      <c r="H81" s="2">
        <f>IF(C81="","",C81+30)</f>
      </c>
    </row>
    <row r="82">
      <c r="A82" s="3">
        <v>141</v>
      </c>
      <c r="B82" s="3" t="inlineStr">
        <is>
          <t xml:space="preserve">What do you do in the first five minutes of a coding round?</t>
        </is>
      </c>
      <c r="D82" s="2">
        <f>IF(C82="","",C82+1)</f>
      </c>
      <c r="E82" s="2">
        <f>IF(C82="","",C82+3)</f>
      </c>
      <c r="F82" s="2">
        <f>IF(C82="","",C82+7)</f>
      </c>
      <c r="G82" s="2">
        <f>IF(C82="","",C82+14)</f>
      </c>
      <c r="H82" s="2">
        <f>IF(C82="","",C82+30)</f>
      </c>
    </row>
    <row r="83">
      <c r="A83" s="3">
        <v>142</v>
      </c>
      <c r="B83" s="3" t="inlineStr">
        <is>
          <t xml:space="preserve">How do you approach a 45-minute LLD from a blank page?</t>
        </is>
      </c>
      <c r="D83" s="2">
        <f>IF(C83="","",C83+1)</f>
      </c>
      <c r="E83" s="2">
        <f>IF(C83="","",C83+3)</f>
      </c>
      <c r="F83" s="2">
        <f>IF(C83="","",C83+7)</f>
      </c>
      <c r="G83" s="2">
        <f>IF(C83="","",C83+14)</f>
      </c>
      <c r="H83" s="2">
        <f>IF(C83="","",C83+30)</f>
      </c>
    </row>
    <row r="84">
      <c r="A84" s="3">
        <v>143</v>
      </c>
      <c r="B84" s="3" t="inlineStr">
        <is>
          <t xml:space="preserve">How do you open a system design round?</t>
        </is>
      </c>
      <c r="D84" s="2">
        <f>IF(C84="","",C84+1)</f>
      </c>
      <c r="E84" s="2">
        <f>IF(C84="","",C84+3)</f>
      </c>
      <c r="F84" s="2">
        <f>IF(C84="","",C84+7)</f>
      </c>
      <c r="G84" s="2">
        <f>IF(C84="","",C84+14)</f>
      </c>
      <c r="H84" s="2">
        <f>IF(C84="","",C84+30)</f>
      </c>
    </row>
    <row r="85">
      <c r="A85" s="3">
        <v>144</v>
      </c>
      <c r="B85" s="3" t="inlineStr">
        <is>
          <t xml:space="preserve">Why apply to mid-tier companies first?</t>
        </is>
      </c>
      <c r="D85" s="2">
        <f>IF(C85="","",C85+1)</f>
      </c>
      <c r="E85" s="2">
        <f>IF(C85="","",C85+3)</f>
      </c>
      <c r="F85" s="2">
        <f>IF(C85="","",C85+7)</f>
      </c>
      <c r="G85" s="2">
        <f>IF(C85="","",C85+14)</f>
      </c>
      <c r="H85" s="2">
        <f>IF(C85="","",C85+30)</f>
      </c>
    </row>
    <row r="86">
      <c r="A86" s="3">
        <v>148</v>
      </c>
      <c r="B86" s="3" t="inlineStr">
        <is>
          <t xml:space="preserve">How do you code with no autocomplete and no compiler?</t>
        </is>
      </c>
      <c r="D86" s="2">
        <f>IF(C86="","",C86+1)</f>
      </c>
      <c r="E86" s="2">
        <f>IF(C86="","",C86+3)</f>
      </c>
      <c r="F86" s="2">
        <f>IF(C86="","",C86+7)</f>
      </c>
      <c r="G86" s="2">
        <f>IF(C86="","",C86+14)</f>
      </c>
      <c r="H86" s="2">
        <f>IF(C86="","",C86+30)</f>
      </c>
    </row>
    <row r="87">
      <c r="A87" s="3">
        <v>149</v>
      </c>
      <c r="B87" s="3" t="inlineStr">
        <is>
          <t xml:space="preserve">Where does concurrency appear in a task scheduler?</t>
        </is>
      </c>
      <c r="D87" s="2">
        <f>IF(C87="","",C87+1)</f>
      </c>
      <c r="E87" s="2">
        <f>IF(C87="","",C87+3)</f>
      </c>
      <c r="F87" s="2">
        <f>IF(C87="","",C87+7)</f>
      </c>
      <c r="G87" s="2">
        <f>IF(C87="","",C87+14)</f>
      </c>
      <c r="H87" s="2">
        <f>IF(C87="","",C87+30)</f>
      </c>
    </row>
    <row r="88">
      <c r="A88" s="3">
        <v>150</v>
      </c>
      <c r="B88" s="3" t="inlineStr">
        <is>
          <t xml:space="preserve">What separates a passing design from a strong one?</t>
        </is>
      </c>
      <c r="D88" s="2">
        <f>IF(C88="","",C88+1)</f>
      </c>
      <c r="E88" s="2">
        <f>IF(C88="","",C88+3)</f>
      </c>
      <c r="F88" s="2">
        <f>IF(C88="","",C88+7)</f>
      </c>
      <c r="G88" s="2">
        <f>IF(C88="","",C88+14)</f>
      </c>
      <c r="H88" s="2">
        <f>IF(C88="","",C88+30)</f>
      </c>
    </row>
    <row r="89">
      <c r="A89" s="3">
        <v>151</v>
      </c>
      <c r="B89" s="3" t="inlineStr">
        <is>
          <t xml:space="preserve">Your English stalls mid-answer. What do you do?</t>
        </is>
      </c>
      <c r="D89" s="2">
        <f>IF(C89="","",C89+1)</f>
      </c>
      <c r="E89" s="2">
        <f>IF(C89="","",C89+3)</f>
      </c>
      <c r="F89" s="2">
        <f>IF(C89="","",C89+7)</f>
      </c>
      <c r="G89" s="2">
        <f>IF(C89="","",C89+14)</f>
      </c>
      <c r="H89" s="2">
        <f>IF(C89="","",C89+30)</f>
      </c>
    </row>
    <row r="90">
      <c r="A90" s="3">
        <v>155</v>
      </c>
      <c r="B90" s="3" t="inlineStr">
        <is>
          <t xml:space="preserve">What is the Bar Raiser looking for?</t>
        </is>
      </c>
      <c r="D90" s="2">
        <f>IF(C90="","",C90+1)</f>
      </c>
      <c r="E90" s="2">
        <f>IF(C90="","",C90+3)</f>
      </c>
      <c r="F90" s="2">
        <f>IF(C90="","",C90+7)</f>
      </c>
      <c r="G90" s="2">
        <f>IF(C90="","",C90+14)</f>
      </c>
      <c r="H90" s="2">
        <f>IF(C90="","",C90+30)</f>
      </c>
    </row>
    <row r="91">
      <c r="A91" s="3">
        <v>156</v>
      </c>
      <c r="B91" s="3" t="inlineStr">
        <is>
          <t xml:space="preserve">Which states does an ATM have?</t>
        </is>
      </c>
      <c r="D91" s="2">
        <f>IF(C91="","",C91+1)</f>
      </c>
      <c r="E91" s="2">
        <f>IF(C91="","",C91+3)</f>
      </c>
      <c r="F91" s="2">
        <f>IF(C91="","",C91+7)</f>
      </c>
      <c r="G91" s="2">
        <f>IF(C91="","",C91+14)</f>
      </c>
      <c r="H91" s="2">
        <f>IF(C91="","",C91+30)</f>
      </c>
    </row>
    <row r="92">
      <c r="A92" s="3">
        <v>157</v>
      </c>
      <c r="B92" s="3" t="inlineStr">
        <is>
          <t xml:space="preserve">How do you keep an LLD extensible?</t>
        </is>
      </c>
      <c r="D92" s="2">
        <f>IF(C92="","",C92+1)</f>
      </c>
      <c r="E92" s="2">
        <f>IF(C92="","",C92+3)</f>
      </c>
      <c r="F92" s="2">
        <f>IF(C92="","",C92+7)</f>
      </c>
      <c r="G92" s="2">
        <f>IF(C92="","",C92+14)</f>
      </c>
      <c r="H92" s="2">
        <f>IF(C92="","",C92+30)</f>
      </c>
    </row>
    <row r="93">
      <c r="A93" s="3">
        <v>158</v>
      </c>
      <c r="B93" s="3" t="inlineStr">
        <is>
          <t xml:space="preserve">How do you analyse an interview afterwards?</t>
        </is>
      </c>
      <c r="D93" s="2">
        <f>IF(C93="","",C93+1)</f>
      </c>
      <c r="E93" s="2">
        <f>IF(C93="","",C93+3)</f>
      </c>
      <c r="F93" s="2">
        <f>IF(C93="","",C93+7)</f>
      </c>
      <c r="G93" s="2">
        <f>IF(C93="","",C93+14)</f>
      </c>
      <c r="H93" s="2">
        <f>IF(C93="","",C93+30)</f>
      </c>
    </row>
    <row r="94">
      <c r="A94" s="3">
        <v>162</v>
      </c>
      <c r="B94" s="3" t="inlineStr">
        <is>
          <t xml:space="preserve">What does the hiring committee mean for how you answer?</t>
        </is>
      </c>
      <c r="D94" s="2">
        <f>IF(C94="","",C94+1)</f>
      </c>
      <c r="E94" s="2">
        <f>IF(C94="","",C94+3)</f>
      </c>
      <c r="F94" s="2">
        <f>IF(C94="","",C94+7)</f>
      </c>
      <c r="G94" s="2">
        <f>IF(C94="","",C94+14)</f>
      </c>
      <c r="H94" s="2">
        <f>IF(C94="","",C94+30)</f>
      </c>
    </row>
    <row r="95">
      <c r="A95" s="3">
        <v>163</v>
      </c>
      <c r="B95" s="3" t="inlineStr">
        <is>
          <t xml:space="preserve">What is the code comprehension round and how do you prepare?</t>
        </is>
      </c>
      <c r="D95" s="2">
        <f>IF(C95="","",C95+1)</f>
      </c>
      <c r="E95" s="2">
        <f>IF(C95="","",C95+3)</f>
      </c>
      <c r="F95" s="2">
        <f>IF(C95="","",C95+7)</f>
      </c>
      <c r="G95" s="2">
        <f>IF(C95="","",C95+14)</f>
      </c>
      <c r="H95" s="2">
        <f>IF(C95="","",C95+30)</f>
      </c>
    </row>
    <row r="96">
      <c r="A96" s="3">
        <v>164</v>
      </c>
      <c r="B96" s="3" t="inlineStr">
        <is>
          <t xml:space="preserve">How do two people edit the same paragraph safely?</t>
        </is>
      </c>
      <c r="D96" s="2">
        <f>IF(C96="","",C96+1)</f>
      </c>
      <c r="E96" s="2">
        <f>IF(C96="","",C96+3)</f>
      </c>
      <c r="F96" s="2">
        <f>IF(C96="","",C96+7)</f>
      </c>
      <c r="G96" s="2">
        <f>IF(C96="","",C96+14)</f>
      </c>
      <c r="H96" s="2">
        <f>IF(C96="","",C96+30)</f>
      </c>
    </row>
    <row r="97">
      <c r="A97" s="3">
        <v>165</v>
      </c>
      <c r="B97" s="3" t="inlineStr">
        <is>
          <t xml:space="preserve">How do you handle a hot key in a distributed cache?</t>
        </is>
      </c>
      <c r="D97" s="2">
        <f>IF(C97="","",C97+1)</f>
      </c>
      <c r="E97" s="2">
        <f>IF(C97="","",C97+3)</f>
      </c>
      <c r="F97" s="2">
        <f>IF(C97="","",C97+7)</f>
      </c>
      <c r="G97" s="2">
        <f>IF(C97="","",C97+14)</f>
      </c>
      <c r="H97" s="2">
        <f>IF(C97="","",C97+30)</f>
      </c>
    </row>
    <row r="98">
      <c r="A98" s="3">
        <v>169</v>
      </c>
      <c r="B98" s="3" t="inlineStr">
        <is>
          <t xml:space="preserve">When does Kafka beat SQS, concretely?</t>
        </is>
      </c>
      <c r="D98" s="2">
        <f>IF(C98="","",C98+1)</f>
      </c>
      <c r="E98" s="2">
        <f>IF(C98="","",C98+3)</f>
      </c>
      <c r="F98" s="2">
        <f>IF(C98="","",C98+7)</f>
      </c>
      <c r="G98" s="2">
        <f>IF(C98="","",C98+14)</f>
      </c>
      <c r="H98" s="2">
        <f>IF(C98="","",C98+30)</f>
      </c>
    </row>
    <row r="99">
      <c r="A99" s="3">
        <v>170</v>
      </c>
      <c r="B99" s="3" t="inlineStr">
        <is>
          <t xml:space="preserve">Kafka claims exactly-once semantics. Is that a contradiction?</t>
        </is>
      </c>
      <c r="D99" s="2">
        <f>IF(C99="","",C99+1)</f>
      </c>
      <c r="E99" s="2">
        <f>IF(C99="","",C99+3)</f>
      </c>
      <c r="F99" s="2">
        <f>IF(C99="","",C99+7)</f>
      </c>
      <c r="G99" s="2">
        <f>IF(C99="","",C99+14)</f>
      </c>
      <c r="H99" s="2">
        <f>IF(C99="","",C99+30)</f>
      </c>
    </row>
    <row r="100">
      <c r="A100" s="3">
        <v>171</v>
      </c>
      <c r="B100" s="3" t="inlineStr">
        <is>
          <t xml:space="preserve">What is a watermark?</t>
        </is>
      </c>
      <c r="D100" s="2">
        <f>IF(C100="","",C100+1)</f>
      </c>
      <c r="E100" s="2">
        <f>IF(C100="","",C100+3)</f>
      </c>
      <c r="F100" s="2">
        <f>IF(C100="","",C100+7)</f>
      </c>
      <c r="G100" s="2">
        <f>IF(C100="","",C100+14)</f>
      </c>
      <c r="H100" s="2">
        <f>IF(C100="","",C100+30)</f>
      </c>
    </row>
    <row r="101">
      <c r="A101" s="3">
        <v>172</v>
      </c>
      <c r="B101" s="3" t="inlineStr">
        <is>
          <t xml:space="preserve">Why is replay a design requirement?</t>
        </is>
      </c>
      <c r="D101" s="2">
        <f>IF(C101="","",C101+1)</f>
      </c>
      <c r="E101" s="2">
        <f>IF(C101="","",C101+3)</f>
      </c>
      <c r="F101" s="2">
        <f>IF(C101="","",C101+7)</f>
      </c>
      <c r="G101" s="2">
        <f>IF(C101="","",C101+14)</f>
      </c>
      <c r="H101" s="2">
        <f>IF(C101="","",C101+30)</f>
      </c>
    </row>
    <row r="102">
      <c r="A102" s="3">
        <v>176</v>
      </c>
      <c r="B102" s="3" t="inlineStr">
        <is>
          <t xml:space="preserve">Linearizability or serializability — what is the difference?</t>
        </is>
      </c>
      <c r="D102" s="2">
        <f>IF(C102="","",C102+1)</f>
      </c>
      <c r="E102" s="2">
        <f>IF(C102="","",C102+3)</f>
      </c>
      <c r="F102" s="2">
        <f>IF(C102="","",C102+7)</f>
      </c>
      <c r="G102" s="2">
        <f>IF(C102="","",C102+14)</f>
      </c>
      <c r="H102" s="2">
        <f>IF(C102="","",C102+30)</f>
      </c>
    </row>
    <row r="103">
      <c r="A103" s="3">
        <v>177</v>
      </c>
      <c r="B103" s="3" t="inlineStr">
        <is>
          <t xml:space="preserve">Active-active or active-passive?</t>
        </is>
      </c>
      <c r="D103" s="2">
        <f>IF(C103="","",C103+1)</f>
      </c>
      <c r="E103" s="2">
        <f>IF(C103="","",C103+3)</f>
      </c>
      <c r="F103" s="2">
        <f>IF(C103="","",C103+7)</f>
      </c>
      <c r="G103" s="2">
        <f>IF(C103="","",C103+14)</f>
      </c>
      <c r="H103" s="2">
        <f>IF(C103="","",C103+30)</f>
      </c>
    </row>
    <row r="104">
      <c r="A104" s="3">
        <v>178</v>
      </c>
      <c r="B104" s="3" t="inlineStr">
        <is>
          <t xml:space="preserve">Why is cardinality the hard part of a metrics system?</t>
        </is>
      </c>
      <c r="D104" s="2">
        <f>IF(C104="","",C104+1)</f>
      </c>
      <c r="E104" s="2">
        <f>IF(C104="","",C104+3)</f>
      </c>
      <c r="F104" s="2">
        <f>IF(C104="","",C104+7)</f>
      </c>
      <c r="G104" s="2">
        <f>IF(C104="","",C104+14)</f>
      </c>
      <c r="H104" s="2">
        <f>IF(C104="","",C104+30)</f>
      </c>
    </row>
    <row r="105">
      <c r="A105" s="3">
        <v>179</v>
      </c>
      <c r="B105" s="3" t="inlineStr">
        <is>
          <t xml:space="preserve">How would you fail over your project to another region?</t>
        </is>
      </c>
      <c r="D105" s="2">
        <f>IF(C105="","",C105+1)</f>
      </c>
      <c r="E105" s="2">
        <f>IF(C105="","",C105+3)</f>
      </c>
      <c r="F105" s="2">
        <f>IF(C105="","",C105+7)</f>
      </c>
      <c r="G105" s="2">
        <f>IF(C105="","",C105+14)</f>
      </c>
      <c r="H105" s="2">
        <f>IF(C105="","",C105+30)</f>
      </c>
    </row>
    <row r="106">
      <c r="A106" s="3">
        <v>183</v>
      </c>
      <c r="B106" s="3" t="inlineStr">
        <is>
          <t xml:space="preserve">How do you use AI tools, and how do you verify their output?</t>
        </is>
      </c>
      <c r="D106" s="2">
        <f>IF(C106="","",C106+1)</f>
      </c>
      <c r="E106" s="2">
        <f>IF(C106="","",C106+3)</f>
      </c>
      <c r="F106" s="2">
        <f>IF(C106="","",C106+7)</f>
      </c>
      <c r="G106" s="2">
        <f>IF(C106="","",C106+14)</f>
      </c>
      <c r="H106" s="2">
        <f>IF(C106="","",C106+30)</f>
      </c>
    </row>
    <row r="107">
      <c r="A107" s="3">
        <v>184</v>
      </c>
      <c r="B107" s="3" t="inlineStr">
        <is>
          <t xml:space="preserve">What is actually hard about building a RAG service?</t>
        </is>
      </c>
      <c r="D107" s="2">
        <f>IF(C107="","",C107+1)</f>
      </c>
      <c r="E107" s="2">
        <f>IF(C107="","",C107+3)</f>
      </c>
      <c r="F107" s="2">
        <f>IF(C107="","",C107+7)</f>
      </c>
      <c r="G107" s="2">
        <f>IF(C107="","",C107+14)</f>
      </c>
      <c r="H107" s="2">
        <f>IF(C107="","",C107+30)</f>
      </c>
    </row>
    <row r="108">
      <c r="A108" s="3">
        <v>185</v>
      </c>
      <c r="B108" s="3" t="inlineStr">
        <is>
          <t xml:space="preserve">Why pgvector rather than a dedicated vector database?</t>
        </is>
      </c>
      <c r="D108" s="2">
        <f>IF(C108="","",C108+1)</f>
      </c>
      <c r="E108" s="2">
        <f>IF(C108="","",C108+3)</f>
      </c>
      <c r="F108" s="2">
        <f>IF(C108="","",C108+7)</f>
      </c>
      <c r="G108" s="2">
        <f>IF(C108="","",C108+14)</f>
      </c>
      <c r="H108" s="2">
        <f>IF(C108="","",C108+30)</f>
      </c>
    </row>
    <row r="109">
      <c r="A109" s="3">
        <v>186</v>
      </c>
      <c r="B109" s="3" t="inlineStr">
        <is>
          <t xml:space="preserve">How do you evaluate a RAG system?</t>
        </is>
      </c>
      <c r="D109" s="2">
        <f>IF(C109="","",C109+1)</f>
      </c>
      <c r="E109" s="2">
        <f>IF(C109="","",C109+3)</f>
      </c>
      <c r="F109" s="2">
        <f>IF(C109="","",C109+7)</f>
      </c>
      <c r="G109" s="2">
        <f>IF(C109="","",C109+14)</f>
      </c>
      <c r="H109" s="2">
        <f>IF(C109="","",C109+30)</f>
      </c>
    </row>
    <row r="110">
      <c r="A110" s="3">
        <v>190</v>
      </c>
      <c r="B110" s="3" t="inlineStr">
        <is>
          <t xml:space="preserve">Why must a RAG system be able to say 'I don't know'?</t>
        </is>
      </c>
      <c r="D110" s="2">
        <f>IF(C110="","",C110+1)</f>
      </c>
      <c r="E110" s="2">
        <f>IF(C110="","",C110+3)</f>
      </c>
      <c r="F110" s="2">
        <f>IF(C110="","",C110+7)</f>
      </c>
      <c r="G110" s="2">
        <f>IF(C110="","",C110+14)</f>
      </c>
      <c r="H110" s="2">
        <f>IF(C110="","",C110+30)</f>
      </c>
    </row>
    <row r="111">
      <c r="A111" s="3">
        <v>191</v>
      </c>
      <c r="B111" s="3" t="inlineStr">
        <is>
          <t xml:space="preserve">How do you stop a malicious document from making the model do something?</t>
        </is>
      </c>
      <c r="D111" s="2">
        <f>IF(C111="","",C111+1)</f>
      </c>
      <c r="E111" s="2">
        <f>IF(C111="","",C111+3)</f>
      </c>
      <c r="F111" s="2">
        <f>IF(C111="","",C111+7)</f>
      </c>
      <c r="G111" s="2">
        <f>IF(C111="","",C111+14)</f>
      </c>
      <c r="H111" s="2">
        <f>IF(C111="","",C111+30)</f>
      </c>
    </row>
    <row r="112">
      <c r="A112" s="3">
        <v>192</v>
      </c>
      <c r="B112" s="3" t="inlineStr">
        <is>
          <t xml:space="preserve">Tools, resources and prompts in MCP — who controls each?</t>
        </is>
      </c>
      <c r="D112" s="2">
        <f>IF(C112="","",C112+1)</f>
      </c>
      <c r="E112" s="2">
        <f>IF(C112="","",C112+3)</f>
      </c>
      <c r="F112" s="2">
        <f>IF(C112="","",C112+7)</f>
      </c>
      <c r="G112" s="2">
        <f>IF(C112="","",C112+14)</f>
      </c>
      <c r="H112" s="2">
        <f>IF(C112="","",C112+30)</f>
      </c>
    </row>
    <row r="113">
      <c r="A113" s="3">
        <v>193</v>
      </c>
      <c r="B113" s="3" t="inlineStr">
        <is>
          <t xml:space="preserve">How do you control the cost of an LLM feature?</t>
        </is>
      </c>
      <c r="D113" s="2">
        <f>IF(C113="","",C113+1)</f>
      </c>
      <c r="E113" s="2">
        <f>IF(C113="","",C113+3)</f>
      </c>
      <c r="F113" s="2">
        <f>IF(C113="","",C113+7)</f>
      </c>
      <c r="G113" s="2">
        <f>IF(C113="","",C113+14)</f>
      </c>
      <c r="H113" s="2">
        <f>IF(C113="","",C113+30)</f>
      </c>
    </row>
    <row r="114">
      <c r="A114" s="3">
        <v>197</v>
      </c>
      <c r="B114" s="3" t="inlineStr">
        <is>
          <t xml:space="preserve">Why did you choose this extension for your target roles?</t>
        </is>
      </c>
      <c r="D114" s="2">
        <f>IF(C114="","",C114+1)</f>
      </c>
      <c r="E114" s="2">
        <f>IF(C114="","",C114+3)</f>
      </c>
      <c r="F114" s="2">
        <f>IF(C114="","",C114+7)</f>
      </c>
      <c r="G114" s="2">
        <f>IF(C114="","",C114+14)</f>
      </c>
      <c r="H114" s="2">
        <f>IF(C114="","",C114+30)</f>
      </c>
    </row>
    <row r="115">
      <c r="A115" s="3">
        <v>198</v>
      </c>
      <c r="B115" s="3" t="inlineStr">
        <is>
          <t xml:space="preserve">Explain the extension in 2 minutes.</t>
        </is>
      </c>
      <c r="D115" s="2">
        <f>IF(C115="","",C115+1)</f>
      </c>
      <c r="E115" s="2">
        <f>IF(C115="","",C115+3)</f>
      </c>
      <c r="F115" s="2">
        <f>IF(C115="","",C115+7)</f>
      </c>
      <c r="G115" s="2">
        <f>IF(C115="","",C115+14)</f>
      </c>
      <c r="H115" s="2">
        <f>IF(C115="","",C115+30)</f>
      </c>
    </row>
    <row r="116">
      <c r="A116" s="3">
        <v>199</v>
      </c>
      <c r="B116" s="3" t="inlineStr">
        <is>
          <t xml:space="preserve">When would you use a trie service vs a search engine?</t>
        </is>
      </c>
      <c r="D116" s="2">
        <f>IF(C116="","",C116+1)</f>
      </c>
      <c r="E116" s="2">
        <f>IF(C116="","",C116+3)</f>
      </c>
      <c r="F116" s="2">
        <f>IF(C116="","",C116+7)</f>
      </c>
      <c r="G116" s="2">
        <f>IF(C116="","",C116+14)</f>
      </c>
      <c r="H116" s="2">
        <f>IF(C116="","",C116+30)</f>
      </c>
    </row>
    <row r="117">
      <c r="A117" s="3">
        <v>200</v>
      </c>
      <c r="B117" s="3" t="inlineStr">
        <is>
          <t xml:space="preserve">When is CQRS over-engineering?</t>
        </is>
      </c>
      <c r="D117" s="2">
        <f>IF(C117="","",C117+1)</f>
      </c>
      <c r="E117" s="2">
        <f>IF(C117="","",C117+3)</f>
      </c>
      <c r="F117" s="2">
        <f>IF(C117="","",C117+7)</f>
      </c>
      <c r="G117" s="2">
        <f>IF(C117="","",C117+14)</f>
      </c>
      <c r="H117" s="2">
        <f>IF(C117="","",C117+30)</f>
      </c>
    </row>
    <row r="118">
      <c r="A118" s="3">
        <v>204</v>
      </c>
      <c r="B118" s="3" t="inlineStr">
        <is>
          <t xml:space="preserve">Explain the .NET request pipeline end to end.</t>
        </is>
      </c>
      <c r="D118" s="2">
        <f>IF(C118="","",C118+1)</f>
      </c>
      <c r="E118" s="2">
        <f>IF(C118="","",C118+3)</f>
      </c>
      <c r="F118" s="2">
        <f>IF(C118="","",C118+7)</f>
      </c>
      <c r="G118" s="2">
        <f>IF(C118="","",C118+14)</f>
      </c>
      <c r="H118" s="2">
        <f>IF(C118="","",C118+30)</f>
      </c>
    </row>
    <row r="119">
      <c r="A119" s="3">
        <v>205</v>
      </c>
      <c r="B119" s="3" t="inlineStr">
        <is>
          <t xml:space="preserve">Explain isolation levels per engine.</t>
        </is>
      </c>
      <c r="D119" s="2">
        <f>IF(C119="","",C119+1)</f>
      </c>
      <c r="E119" s="2">
        <f>IF(C119="","",C119+3)</f>
      </c>
      <c r="F119" s="2">
        <f>IF(C119="","",C119+7)</f>
      </c>
      <c r="G119" s="2">
        <f>IF(C119="","",C119+14)</f>
      </c>
      <c r="H119" s="2">
        <f>IF(C119="","",C119+30)</f>
      </c>
    </row>
    <row r="120">
      <c r="A120" s="3">
        <v>206</v>
      </c>
      <c r="B120" s="3" t="inlineStr">
        <is>
          <t xml:space="preserve">What happens when you type a URL?</t>
        </is>
      </c>
      <c r="D120" s="2">
        <f>IF(C120="","",C120+1)</f>
      </c>
      <c r="E120" s="2">
        <f>IF(C120="","",C120+3)</f>
      </c>
      <c r="F120" s="2">
        <f>IF(C120="","",C120+7)</f>
      </c>
      <c r="G120" s="2">
        <f>IF(C120="","",C120+14)</f>
      </c>
      <c r="H120" s="2">
        <f>IF(C120="","",C120+30)</f>
      </c>
    </row>
    <row r="121">
      <c r="A121" s="3">
        <v>207</v>
      </c>
      <c r="B121" s="3" t="inlineStr">
        <is>
          <t xml:space="preserve">Explain at-least-once delivery and idempotency.</t>
        </is>
      </c>
      <c r="D121" s="2">
        <f>IF(C121="","",C121+1)</f>
      </c>
      <c r="E121" s="2">
        <f>IF(C121="","",C121+3)</f>
      </c>
      <c r="F121" s="2">
        <f>IF(C121="","",C121+7)</f>
      </c>
      <c r="G121" s="2">
        <f>IF(C121="","",C121+14)</f>
      </c>
      <c r="H121" s="2">
        <f>IF(C121="","",C121+30)</f>
      </c>
    </row>
    <row r="122">
      <c r="A122" s="3">
        <v>211</v>
      </c>
      <c r="B122" s="3" t="inlineStr">
        <is>
          <t xml:space="preserve">What will this company's loop test, according to the recruiter?</t>
        </is>
      </c>
      <c r="D122" s="2">
        <f>IF(C122="","",C122+1)</f>
      </c>
      <c r="E122" s="2">
        <f>IF(C122="","",C122+3)</f>
      </c>
      <c r="F122" s="2">
        <f>IF(C122="","",C122+7)</f>
      </c>
      <c r="G122" s="2">
        <f>IF(C122="","",C122+14)</f>
      </c>
      <c r="H122" s="2">
        <f>IF(C122="","",C122+30)</f>
      </c>
    </row>
    <row r="123">
      <c r="A123" s="3">
        <v>212</v>
      </c>
      <c r="B123" s="3" t="inlineStr">
        <is>
          <t xml:space="preserve">How do you analyse an interview afterwards?</t>
        </is>
      </c>
      <c r="D123" s="2">
        <f>IF(C123="","",C123+1)</f>
      </c>
      <c r="E123" s="2">
        <f>IF(C123="","",C123+3)</f>
      </c>
      <c r="F123" s="2">
        <f>IF(C123="","",C123+7)</f>
      </c>
      <c r="G123" s="2">
        <f>IF(C123="","",C123+14)</f>
      </c>
      <c r="H123" s="2">
        <f>IF(C123="","",C123+30)</f>
      </c>
    </row>
    <row r="124">
      <c r="A124" s="3">
        <v>213</v>
      </c>
      <c r="B124" s="3" t="inlineStr">
        <is>
          <t xml:space="preserve">What do you say when asked for your expected salary?</t>
        </is>
      </c>
      <c r="D124" s="2">
        <f>IF(C124="","",C124+1)</f>
      </c>
      <c r="E124" s="2">
        <f>IF(C124="","",C124+3)</f>
      </c>
      <c r="F124" s="2">
        <f>IF(C124="","",C124+7)</f>
      </c>
      <c r="G124" s="2">
        <f>IF(C124="","",C124+14)</f>
      </c>
      <c r="H124" s="2">
        <f>IF(C124="","",C124+30)</f>
      </c>
    </row>
    <row r="125">
      <c r="A125" s="3">
        <v>214</v>
      </c>
      <c r="B125" s="3" t="inlineStr">
        <is>
          <t xml:space="preserve">Why do you want to move to this country? (only if relevant)</t>
        </is>
      </c>
      <c r="D125" s="2">
        <f>IF(C125="","",C125+1)</f>
      </c>
      <c r="E125" s="2">
        <f>IF(C125="","",C125+3)</f>
      </c>
      <c r="F125" s="2">
        <f>IF(C125="","",C125+7)</f>
      </c>
      <c r="G125" s="2">
        <f>IF(C125="","",C125+14)</f>
      </c>
      <c r="H125" s="2">
        <f>IF(C125="","",C125+30)</f>
      </c>
    </row>
    <row r="126">
      <c r="A126" s="3">
        <v>218</v>
      </c>
      <c r="B126" s="3" t="inlineStr">
        <is>
          <t xml:space="preserve">What is boxing and when does it happen?</t>
        </is>
      </c>
      <c r="D126" s="2">
        <f>IF(C126="","",C126+1)</f>
      </c>
      <c r="E126" s="2">
        <f>IF(C126="","",C126+3)</f>
      </c>
      <c r="F126" s="2">
        <f>IF(C126="","",C126+7)</f>
      </c>
      <c r="G126" s="2">
        <f>IF(C126="","",C126+14)</f>
      </c>
      <c r="H126" s="2">
        <f>IF(C126="","",C126+30)</f>
      </c>
    </row>
    <row r="127">
      <c r="A127" s="3">
        <v>219</v>
      </c>
      <c r="B127" s="3" t="inlineStr">
        <is>
          <t xml:space="preserve">How do you ask for more time to decide?</t>
        </is>
      </c>
      <c r="D127" s="2">
        <f>IF(C127="","",C127+1)</f>
      </c>
      <c r="E127" s="2">
        <f>IF(C127="","",C127+3)</f>
      </c>
      <c r="F127" s="2">
        <f>IF(C127="","",C127+7)</f>
      </c>
      <c r="G127" s="2">
        <f>IF(C127="","",C127+14)</f>
      </c>
      <c r="H127" s="2">
        <f>IF(C127="","",C127+30)</f>
      </c>
    </row>
    <row r="128">
      <c r="A128" s="3">
        <v>220</v>
      </c>
      <c r="B128" s="3" t="inlineStr">
        <is>
          <t xml:space="preserve">How does your project behave when the database is down?</t>
        </is>
      </c>
      <c r="D128" s="2">
        <f>IF(C128="","",C128+1)</f>
      </c>
      <c r="E128" s="2">
        <f>IF(C128="","",C128+3)</f>
      </c>
      <c r="F128" s="2">
        <f>IF(C128="","",C128+7)</f>
      </c>
      <c r="G128" s="2">
        <f>IF(C128="","",C128+14)</f>
      </c>
      <c r="H128" s="2">
        <f>IF(C128="","",C128+30)</f>
      </c>
    </row>
    <row r="129">
      <c r="A129" s="3">
        <v>221</v>
      </c>
      <c r="B129" s="3" t="inlineStr">
        <is>
          <t xml:space="preserve">What did these eight months change in how you engineer?</t>
        </is>
      </c>
      <c r="D129" s="2">
        <f>IF(C129="","",C129+1)</f>
      </c>
      <c r="E129" s="2">
        <f>IF(C129="","",C129+3)</f>
      </c>
      <c r="F129" s="2">
        <f>IF(C129="","",C129+7)</f>
      </c>
      <c r="G129" s="2">
        <f>IF(C129="","",C129+14)</f>
      </c>
      <c r="H129" s="2">
        <f>IF(C129="","",C129+30)</f>
      </c>
    </row>
  </sheetData>
  <dataValidations count="1">
    <dataValidation type="list" allowBlank="1" showDropDown="0" sqref="I2:I400">
      <formula1>"Pass,Partial,Fail"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0" customWidth="1"/>
    <col min="2" max="2" width="13" customWidth="1"/>
    <col min="3" max="3" width="30" customWidth="1"/>
    <col min="4" max="4" width="14" customWidth="1"/>
    <col min="5" max="5" width="14" customWidth="1"/>
    <col min="6" max="6" width="13" customWidth="1"/>
    <col min="7" max="7" width="40" customWidth="1"/>
  </cols>
  <sheetData>
    <row r="1">
      <c r="A1" s="1" t="inlineStr">
        <is>
          <t xml:space="preserve">Item</t>
        </is>
      </c>
      <c r="B1" s="1" t="inlineStr">
        <is>
          <t xml:space="preserve">Added on</t>
        </is>
      </c>
      <c r="C1" s="1" t="inlineStr">
        <is>
          <t xml:space="preserve">Where it came from</t>
        </is>
      </c>
      <c r="D1" s="1" t="inlineStr">
        <is>
          <t xml:space="preserve">Try 1</t>
        </is>
      </c>
      <c r="E1" s="1" t="inlineStr">
        <is>
          <t xml:space="preserve">Try 2</t>
        </is>
      </c>
      <c r="F1" s="1" t="inlineStr">
        <is>
          <t xml:space="preserve">Cleared on</t>
        </is>
      </c>
      <c r="G1" s="1" t="inlineStr">
        <is>
          <t xml:space="preserve">Note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6" customWidth="1"/>
    <col min="3" max="3" width="50" customWidth="1"/>
    <col min="4" max="4" width="20" customWidth="1"/>
    <col min="5" max="5" width="13" customWidth="1"/>
    <col min="6" max="6" width="9" customWidth="1"/>
    <col min="7" max="7" width="12" customWidth="1"/>
    <col min="8" max="8" width="40" customWidth="1"/>
    <col min="9" max="9" width="13" customWidth="1"/>
  </cols>
  <sheetData>
    <row r="1">
      <c r="A1" s="1" t="inlineStr">
        <is>
          <t xml:space="preserve">ID</t>
        </is>
      </c>
      <c r="B1" s="1" t="inlineStr">
        <is>
          <t xml:space="preserve">Type</t>
        </is>
      </c>
      <c r="C1" s="1" t="inlineStr">
        <is>
          <t xml:space="preserve">Design</t>
        </is>
      </c>
      <c r="D1" s="1" t="inlineStr">
        <is>
          <t xml:space="preserve">Planned day(s)</t>
        </is>
      </c>
      <c r="E1" s="1" t="inlineStr">
        <is>
          <t xml:space="preserve">Done on</t>
        </is>
      </c>
      <c r="F1" s="1" t="inlineStr">
        <is>
          <t xml:space="preserve">Minutes</t>
        </is>
      </c>
      <c r="G1" s="1" t="inlineStr">
        <is>
          <t xml:space="preserve">Score /20</t>
        </is>
      </c>
      <c r="H1" s="1" t="inlineStr">
        <is>
          <t xml:space="preserve">What I missed</t>
        </is>
      </c>
      <c r="I1" s="1" t="inlineStr">
        <is>
          <t xml:space="preserve">Redo on</t>
        </is>
      </c>
    </row>
    <row r="2">
      <c r="A2" s="3" t="inlineStr">
        <is>
          <t xml:space="preserve">url-shortener</t>
        </is>
      </c>
      <c r="B2" s="3" t="inlineStr">
        <is>
          <t xml:space="preserve">HLD</t>
        </is>
      </c>
      <c r="C2" s="4">
        <f>HYPERLINK("DESIGNS.md#hld-url-shortener","URL shortener (TinyURL)")</f>
      </c>
      <c r="D2" s="3" t="inlineStr">
        <is>
          <t xml:space="preserve">20, 27, 34, 55, 202</t>
        </is>
      </c>
    </row>
    <row r="3">
      <c r="A3" s="3" t="inlineStr">
        <is>
          <t xml:space="preserve">pastebin</t>
        </is>
      </c>
      <c r="B3" s="3" t="inlineStr">
        <is>
          <t xml:space="preserve">HLD</t>
        </is>
      </c>
      <c r="C3" s="4">
        <f>HYPERLINK("DESIGNS.md#hld-pastebin","Pastebin")</f>
      </c>
      <c r="D3" s="3" t="inlineStr">
        <is>
          <t xml:space="preserve">117</t>
        </is>
      </c>
    </row>
    <row r="4">
      <c r="A4" s="3" t="inlineStr">
        <is>
          <t xml:space="preserve">rate-limiter</t>
        </is>
      </c>
      <c r="B4" s="3" t="inlineStr">
        <is>
          <t xml:space="preserve">HLD</t>
        </is>
      </c>
      <c r="C4" s="4">
        <f>HYPERLINK("DESIGNS.md#hld-rate-limiter","Distributed rate limiter")</f>
      </c>
      <c r="D4" s="3" t="inlineStr">
        <is>
          <t xml:space="preserve">69, 202</t>
        </is>
      </c>
    </row>
    <row r="5">
      <c r="A5" s="3" t="inlineStr">
        <is>
          <t xml:space="preserve">notification</t>
        </is>
      </c>
      <c r="B5" s="3" t="inlineStr">
        <is>
          <t xml:space="preserve">HLD</t>
        </is>
      </c>
      <c r="C5" s="4">
        <f>HYPERLINK("DESIGNS.md#hld-notification","Notification service (email/SMS/push)")</f>
      </c>
      <c r="D5" s="3" t="inlineStr">
        <is>
          <t xml:space="preserve">83, 146, 202</t>
        </is>
      </c>
    </row>
    <row r="6">
      <c r="A6" s="3" t="inlineStr">
        <is>
          <t xml:space="preserve">job-platform</t>
        </is>
      </c>
      <c r="B6" s="3" t="inlineStr">
        <is>
          <t xml:space="preserve">HLD</t>
        </is>
      </c>
      <c r="C6" s="4">
        <f>HYPERLINK("DESIGNS.md#hld-job-platform","Distributed job scheduler / task queue (your project)")</f>
      </c>
      <c r="D6" s="3" t="inlineStr">
        <is>
          <t xml:space="preserve">76, 167, 216</t>
        </is>
      </c>
    </row>
    <row r="7">
      <c r="A7" s="3" t="inlineStr">
        <is>
          <t xml:space="preserve">dropbox</t>
        </is>
      </c>
      <c r="B7" s="3" t="inlineStr">
        <is>
          <t xml:space="preserve">HLD</t>
        </is>
      </c>
      <c r="C7" s="4">
        <f>HYPERLINK("DESIGNS.md#hld-dropbox","File storage and sync (Dropbox / Google Drive)")</f>
      </c>
      <c r="D7" s="3" t="inlineStr">
        <is>
          <t xml:space="preserve">195</t>
        </is>
      </c>
    </row>
    <row r="8">
      <c r="A8" s="3" t="inlineStr">
        <is>
          <t xml:space="preserve">news-feed</t>
        </is>
      </c>
      <c r="B8" s="3" t="inlineStr">
        <is>
          <t xml:space="preserve">HLD</t>
        </is>
      </c>
      <c r="C8" s="4">
        <f>HYPERLINK("DESIGNS.md#hld-news-feed","News feed (Facebook / Twitter timeline)")</f>
      </c>
      <c r="D8" s="3" t="inlineStr">
        <is>
          <t xml:space="preserve">125, 209</t>
        </is>
      </c>
    </row>
    <row r="9">
      <c r="A9" s="3" t="inlineStr">
        <is>
          <t xml:space="preserve">ecommerce</t>
        </is>
      </c>
      <c r="B9" s="3" t="inlineStr">
        <is>
          <t xml:space="preserve">HLD</t>
        </is>
      </c>
      <c r="C9" s="4">
        <f>HYPERLINK("DESIGNS.md#hld-ecommerce","E-commerce checkout, orders and inventory (Amazon)")</f>
      </c>
      <c r="D9" s="3" t="inlineStr">
        <is>
          <t xml:space="preserve">139</t>
        </is>
      </c>
    </row>
    <row r="10">
      <c r="A10" s="3" t="inlineStr">
        <is>
          <t xml:space="preserve">payment</t>
        </is>
      </c>
      <c r="B10" s="3" t="inlineStr">
        <is>
          <t xml:space="preserve">HLD</t>
        </is>
      </c>
      <c r="C10" s="4">
        <f>HYPERLINK("DESIGNS.md#hld-payment","Payment system / wallet (PhonePe)")</f>
      </c>
      <c r="D10" s="3" t="inlineStr">
        <is>
          <t xml:space="preserve">139, 216</t>
        </is>
      </c>
    </row>
    <row r="11">
      <c r="A11" s="3" t="inlineStr">
        <is>
          <t xml:space="preserve">chat</t>
        </is>
      </c>
      <c r="B11" s="3" t="inlineStr">
        <is>
          <t xml:space="preserve">HLD</t>
        </is>
      </c>
      <c r="C11" s="4">
        <f>HYPERLINK("DESIGNS.md#hld-chat","Chat and messaging (WhatsApp / Slack)")</f>
      </c>
      <c r="D11" s="3" t="inlineStr">
        <is>
          <t xml:space="preserve">118, 209</t>
        </is>
      </c>
    </row>
    <row r="12">
      <c r="A12" s="3" t="inlineStr">
        <is>
          <t xml:space="preserve">web-crawler</t>
        </is>
      </c>
      <c r="B12" s="3" t="inlineStr">
        <is>
          <t xml:space="preserve">HLD</t>
        </is>
      </c>
      <c r="C12" s="4">
        <f>HYPERLINK("DESIGNS.md#hld-web-crawler","Web crawler")</f>
      </c>
      <c r="D12" s="3" t="inlineStr">
        <is>
          <t xml:space="preserve">143</t>
        </is>
      </c>
    </row>
    <row r="13">
      <c r="A13" s="3" t="inlineStr">
        <is>
          <t xml:space="preserve">youtube</t>
        </is>
      </c>
      <c r="B13" s="3" t="inlineStr">
        <is>
          <t xml:space="preserve">HLD</t>
        </is>
      </c>
      <c r="C13" s="4">
        <f>HYPERLINK("DESIGNS.md#hld-youtube","Video upload and streaming (YouTube)")</f>
      </c>
      <c r="D13" s="3" t="inlineStr">
        <is>
          <t xml:space="preserve">150, 199</t>
        </is>
      </c>
    </row>
    <row r="14">
      <c r="A14" s="3" t="inlineStr">
        <is>
          <t xml:space="preserve">typeahead</t>
        </is>
      </c>
      <c r="B14" s="3" t="inlineStr">
        <is>
          <t xml:space="preserve">HLD</t>
        </is>
      </c>
      <c r="C14" s="4">
        <f>HYPERLINK("DESIGNS.md#hld-typeahead","Search autocomplete / typeahead")</f>
      </c>
      <c r="D14" s="3" t="inlineStr">
        <is>
          <t xml:space="preserve">150, 199</t>
        </is>
      </c>
    </row>
    <row r="15">
      <c r="A15" s="3" t="inlineStr">
        <is>
          <t xml:space="preserve">google-docs</t>
        </is>
      </c>
      <c r="B15" s="3" t="inlineStr">
        <is>
          <t xml:space="preserve">HLD</t>
        </is>
      </c>
      <c r="C15" s="4">
        <f>HYPERLINK("DESIGNS.md#hld-google-docs","Collaborative editor (Google Docs)")</f>
      </c>
      <c r="D15" s="3" t="inlineStr">
        <is>
          <t xml:space="preserve">164</t>
        </is>
      </c>
    </row>
    <row r="16">
      <c r="A16" s="3" t="inlineStr">
        <is>
          <t xml:space="preserve">distributed-cache</t>
        </is>
      </c>
      <c r="B16" s="3" t="inlineStr">
        <is>
          <t xml:space="preserve">HLD</t>
        </is>
      </c>
      <c r="C16" s="4">
        <f>HYPERLINK("DESIGNS.md#hld-distributed-cache","Distributed cache (Redis-like)")</f>
      </c>
      <c r="D16" s="3" t="inlineStr">
        <is>
          <t xml:space="preserve">165</t>
        </is>
      </c>
    </row>
    <row r="17">
      <c r="A17" s="3" t="inlineStr">
        <is>
          <t xml:space="preserve">ad-click-aggregation</t>
        </is>
      </c>
      <c r="B17" s="3" t="inlineStr">
        <is>
          <t xml:space="preserve">HLD</t>
        </is>
      </c>
      <c r="C17" s="4">
        <f>HYPERLINK("DESIGNS.md#hld-ad-click-aggregation","Ad-click aggregation (stream processing)")</f>
      </c>
      <c r="D17" s="3" t="inlineStr">
        <is>
          <t xml:space="preserve">174</t>
        </is>
      </c>
    </row>
    <row r="18">
      <c r="A18" s="3" t="inlineStr">
        <is>
          <t xml:space="preserve">metrics-monitoring</t>
        </is>
      </c>
      <c r="B18" s="3" t="inlineStr">
        <is>
          <t xml:space="preserve">HLD</t>
        </is>
      </c>
      <c r="C18" s="4">
        <f>HYPERLINK("DESIGNS.md#hld-metrics-monitoring","Metrics and monitoring system")</f>
      </c>
      <c r="D18" s="3" t="inlineStr">
        <is>
          <t xml:space="preserve">181</t>
        </is>
      </c>
    </row>
    <row r="19">
      <c r="A19" s="3" t="inlineStr">
        <is>
          <t xml:space="preserve">proximity</t>
        </is>
      </c>
      <c r="B19" s="3" t="inlineStr">
        <is>
          <t xml:space="preserve">HLD</t>
        </is>
      </c>
      <c r="C19" s="4">
        <f>HYPERLINK("DESIGNS.md#hld-proximity","Proximity / nearby search (Yelp, Google Maps nearby)")</f>
      </c>
      <c r="D19" s="3" t="inlineStr">
        <is>
          <t xml:space="preserve">188, 199</t>
        </is>
      </c>
    </row>
    <row r="20">
      <c r="A20" s="3" t="inlineStr">
        <is>
          <t xml:space="preserve">object-storage</t>
        </is>
      </c>
      <c r="B20" s="3" t="inlineStr">
        <is>
          <t xml:space="preserve">HLD</t>
        </is>
      </c>
      <c r="C20" s="4">
        <f>HYPERLINK("DESIGNS.md#hld-object-storage","Object storage (S3-like)")</f>
      </c>
      <c r="D20" s="3" t="inlineStr">
        <is>
          <t xml:space="preserve">195</t>
        </is>
      </c>
    </row>
    <row r="21">
      <c r="A21" s="3" t="inlineStr">
        <is>
          <t xml:space="preserve">uber</t>
        </is>
      </c>
      <c r="B21" s="3" t="inlineStr">
        <is>
          <t xml:space="preserve">HLD</t>
        </is>
      </c>
      <c r="C21" s="4">
        <f>HYPERLINK("DESIGNS.md#hld-uber","Ride sharing and matching (Uber)")</f>
      </c>
      <c r="D21" s="3" t="inlineStr">
        <is>
          <t xml:space="preserve">188</t>
        </is>
      </c>
    </row>
    <row r="22">
      <c r="A22" s="3" t="inlineStr">
        <is>
          <t xml:space="preserve">hotel-booking</t>
        </is>
      </c>
      <c r="B22" s="3" t="inlineStr">
        <is>
          <t xml:space="preserve">HLD</t>
        </is>
      </c>
      <c r="C22" s="4">
        <f>HYPERLINK("DESIGNS.md#hld-hotel-booking","Hotel booking (Booking.com)")</f>
      </c>
      <c r="D22" s="3" t="inlineStr">
        <is>
          <t xml:space="preserve">132, 216</t>
        </is>
      </c>
    </row>
    <row r="23">
      <c r="A23" s="3" t="inlineStr">
        <is>
          <t xml:space="preserve">ticket-booking</t>
        </is>
      </c>
      <c r="B23" s="3" t="inlineStr">
        <is>
          <t xml:space="preserve">HLD</t>
        </is>
      </c>
      <c r="C23" s="4">
        <f>HYPERLINK("DESIGNS.md#hld-ticket-booking","Movie / event ticket booking (BookMyShow)")</f>
      </c>
      <c r="D23" s="3" t="inlineStr">
        <is>
          <t xml:space="preserve">132</t>
        </is>
      </c>
    </row>
    <row r="24">
      <c r="A24" s="3" t="inlineStr">
        <is>
          <t xml:space="preserve">flight-booking</t>
        </is>
      </c>
      <c r="B24" s="3" t="inlineStr">
        <is>
          <t xml:space="preserve">HLD</t>
        </is>
      </c>
      <c r="C24" s="4">
        <f>HYPERLINK("DESIGNS.md#hld-flight-booking","Flight booking")</f>
      </c>
      <c r="D24" s="3" t="inlineStr">
        <is>
          <t xml:space="preserve">119</t>
        </is>
      </c>
    </row>
    <row r="25">
      <c r="A25" s="3" t="inlineStr">
        <is>
          <t xml:space="preserve">restaurant-reservation</t>
        </is>
      </c>
      <c r="B25" s="3" t="inlineStr">
        <is>
          <t xml:space="preserve">HLD</t>
        </is>
      </c>
      <c r="C25" s="4">
        <f>HYPERLINK("DESIGNS.md#hld-restaurant-reservation","Restaurant reservation")</f>
      </c>
      <c r="D25" s="3" t="inlineStr">
        <is>
          <t xml:space="preserve">124</t>
        </is>
      </c>
    </row>
    <row r="26">
      <c r="A26" s="3" t="inlineStr">
        <is>
          <t xml:space="preserve">food-delivery</t>
        </is>
      </c>
      <c r="B26" s="3" t="inlineStr">
        <is>
          <t xml:space="preserve">HLD</t>
        </is>
      </c>
      <c r="C26" s="4">
        <f>HYPERLINK("DESIGNS.md#hld-food-delivery","Food delivery (Swiggy / Zomato)")</f>
      </c>
      <c r="D26" s="3" t="inlineStr">
        <is>
          <t xml:space="preserve">126</t>
        </is>
      </c>
    </row>
    <row r="27">
      <c r="A27" s="3" t="inlineStr">
        <is>
          <t xml:space="preserve">logging-pipeline</t>
        </is>
      </c>
      <c r="B27" s="3" t="inlineStr">
        <is>
          <t xml:space="preserve">HLD</t>
        </is>
      </c>
      <c r="C27" s="4">
        <f>HYPERLINK("DESIGNS.md#hld-logging-pipeline","Logging pipeline")</f>
      </c>
      <c r="D27" s="3" t="inlineStr">
        <is>
          <t xml:space="preserve">131</t>
        </is>
      </c>
    </row>
    <row r="28">
      <c r="A28" s="3" t="inlineStr">
        <is>
          <t xml:space="preserve">email-delivery</t>
        </is>
      </c>
      <c r="B28" s="3" t="inlineStr">
        <is>
          <t xml:space="preserve">HLD</t>
        </is>
      </c>
      <c r="C28" s="4">
        <f>HYPERLINK("DESIGNS.md#hld-email-delivery","Email delivery service")</f>
      </c>
      <c r="D28" s="3" t="inlineStr">
        <is>
          <t xml:space="preserve">133</t>
        </is>
      </c>
    </row>
    <row r="29">
      <c r="A29" s="3" t="inlineStr">
        <is>
          <t xml:space="preserve">instagram</t>
        </is>
      </c>
      <c r="B29" s="3" t="inlineStr">
        <is>
          <t xml:space="preserve">HLD</t>
        </is>
      </c>
      <c r="C29" s="4">
        <f>HYPERLINK("DESIGNS.md#hld-instagram","Photo sharing (Instagram)")</f>
      </c>
      <c r="D29" s="3" t="inlineStr">
        <is>
          <t xml:space="preserve">138</t>
        </is>
      </c>
    </row>
    <row r="30">
      <c r="A30" s="3" t="inlineStr">
        <is>
          <t xml:space="preserve">tiktok</t>
        </is>
      </c>
      <c r="B30" s="3" t="inlineStr">
        <is>
          <t xml:space="preserve">HLD</t>
        </is>
      </c>
      <c r="C30" s="4">
        <f>HYPERLINK("DESIGNS.md#hld-tiktok","Short-video feed (TikTok)")</f>
      </c>
      <c r="D30" s="3" t="inlineStr">
        <is>
          <t xml:space="preserve">140</t>
        </is>
      </c>
    </row>
    <row r="31">
      <c r="A31" s="3" t="inlineStr">
        <is>
          <t xml:space="preserve">pinterest</t>
        </is>
      </c>
      <c r="B31" s="3" t="inlineStr">
        <is>
          <t xml:space="preserve">HLD</t>
        </is>
      </c>
      <c r="C31" s="4">
        <f>HYPERLINK("DESIGNS.md#hld-pinterest","Pinterest")</f>
      </c>
      <c r="D31" s="3" t="inlineStr">
        <is>
          <t xml:space="preserve">145</t>
        </is>
      </c>
    </row>
    <row r="32">
      <c r="A32" s="3" t="inlineStr">
        <is>
          <t xml:space="preserve">reddit</t>
        </is>
      </c>
      <c r="B32" s="3" t="inlineStr">
        <is>
          <t xml:space="preserve">HLD</t>
        </is>
      </c>
      <c r="C32" s="4">
        <f>HYPERLINK("DESIGNS.md#hld-reddit","Community discussion and voting (Reddit)")</f>
      </c>
      <c r="D32" s="3" t="inlineStr">
        <is>
          <t xml:space="preserve">147</t>
        </is>
      </c>
    </row>
    <row r="33">
      <c r="A33" s="3" t="inlineStr">
        <is>
          <t xml:space="preserve">netflix</t>
        </is>
      </c>
      <c r="B33" s="3" t="inlineStr">
        <is>
          <t xml:space="preserve">HLD</t>
        </is>
      </c>
      <c r="C33" s="4">
        <f>HYPERLINK("DESIGNS.md#hld-netflix","Video-on-demand streaming (Netflix)")</f>
      </c>
      <c r="D33" s="3" t="inlineStr">
        <is>
          <t xml:space="preserve">152</t>
        </is>
      </c>
    </row>
    <row r="34">
      <c r="A34" s="3" t="inlineStr">
        <is>
          <t xml:space="preserve">spotify</t>
        </is>
      </c>
      <c r="B34" s="3" t="inlineStr">
        <is>
          <t xml:space="preserve">HLD</t>
        </is>
      </c>
      <c r="C34" s="4">
        <f>HYPERLINK("DESIGNS.md#hld-spotify","Music streaming (Spotify)")</f>
      </c>
      <c r="D34" s="3" t="inlineStr">
        <is>
          <t xml:space="preserve">154</t>
        </is>
      </c>
    </row>
    <row r="35">
      <c r="A35" s="3" t="inlineStr">
        <is>
          <t xml:space="preserve">trending-topics</t>
        </is>
      </c>
      <c r="B35" s="3" t="inlineStr">
        <is>
          <t xml:space="preserve">HLD</t>
        </is>
      </c>
      <c r="C35" s="4">
        <f>HYPERLINK("DESIGNS.md#hld-trending-topics","Trending topics / top-K heavy hitters")</f>
      </c>
      <c r="D35" s="3" t="inlineStr">
        <is>
          <t xml:space="preserve">159</t>
        </is>
      </c>
    </row>
    <row r="36">
      <c r="A36" s="3" t="inlineStr">
        <is>
          <t xml:space="preserve">cdn</t>
        </is>
      </c>
      <c r="B36" s="3" t="inlineStr">
        <is>
          <t xml:space="preserve">HLD</t>
        </is>
      </c>
      <c r="C36" s="4">
        <f>HYPERLINK("DESIGNS.md#hld-cdn","Content delivery network (CDN)")</f>
      </c>
      <c r="D36" s="3" t="inlineStr">
        <is>
          <t xml:space="preserve">161</t>
        </is>
      </c>
    </row>
    <row r="37">
      <c r="A37" s="3" t="inlineStr">
        <is>
          <t xml:space="preserve">ad-serving</t>
        </is>
      </c>
      <c r="B37" s="3" t="inlineStr">
        <is>
          <t xml:space="preserve">HLD</t>
        </is>
      </c>
      <c r="C37" s="4">
        <f>HYPERLINK("DESIGNS.md#hld-ad-serving","Ad serving")</f>
      </c>
      <c r="D37" s="3" t="inlineStr">
        <is>
          <t xml:space="preserve">166</t>
        </is>
      </c>
    </row>
    <row r="38">
      <c r="A38" s="3" t="inlineStr">
        <is>
          <t xml:space="preserve">recommendations</t>
        </is>
      </c>
      <c r="B38" s="3" t="inlineStr">
        <is>
          <t xml:space="preserve">HLD</t>
        </is>
      </c>
      <c r="C38" s="4">
        <f>HYPERLINK("DESIGNS.md#hld-recommendations","Recommendation system")</f>
      </c>
      <c r="D38" s="3" t="inlineStr">
        <is>
          <t xml:space="preserve">168</t>
        </is>
      </c>
    </row>
    <row r="39">
      <c r="A39" s="3" t="inlineStr">
        <is>
          <t xml:space="preserve">leaderboard</t>
        </is>
      </c>
      <c r="B39" s="3" t="inlineStr">
        <is>
          <t xml:space="preserve">HLD</t>
        </is>
      </c>
      <c r="C39" s="4">
        <f>HYPERLINK("DESIGNS.md#hld-leaderboard","Real-time leaderboard")</f>
      </c>
      <c r="D39" s="3" t="inlineStr">
        <is>
          <t xml:space="preserve">173</t>
        </is>
      </c>
    </row>
    <row r="40">
      <c r="A40" s="3" t="inlineStr">
        <is>
          <t xml:space="preserve">multi-region</t>
        </is>
      </c>
      <c r="B40" s="3" t="inlineStr">
        <is>
          <t xml:space="preserve">HLD</t>
        </is>
      </c>
      <c r="C40" s="4">
        <f>HYPERLINK("DESIGNS.md#hld-multi-region","Multi-region evolution of an earlier design")</f>
      </c>
      <c r="D40" s="3" t="inlineStr">
        <is>
          <t xml:space="preserve">181</t>
        </is>
      </c>
    </row>
    <row r="41">
      <c r="A41" s="3" t="inlineStr">
        <is>
          <t xml:space="preserve">id-generator</t>
        </is>
      </c>
      <c r="B41" s="3" t="inlineStr">
        <is>
          <t xml:space="preserve">HLD</t>
        </is>
      </c>
      <c r="C41" s="4">
        <f>HYPERLINK("DESIGNS.md#hld-id-generator","Distributed unique ID generator (Snowflake)")</f>
      </c>
      <c r="D41" s="3" t="inlineStr">
        <is>
          <t xml:space="preserve">175</t>
        </is>
      </c>
    </row>
    <row r="42">
      <c r="A42" s="3" t="inlineStr">
        <is>
          <t xml:space="preserve">package-tracking</t>
        </is>
      </c>
      <c r="B42" s="3" t="inlineStr">
        <is>
          <t xml:space="preserve">HLD</t>
        </is>
      </c>
      <c r="C42" s="4">
        <f>HYPERLINK("DESIGNS.md#hld-package-tracking","Package tracking (Amazon-style OA sketch)")</f>
      </c>
      <c r="D42" s="3" t="inlineStr">
        <is>
          <t xml:space="preserve">158</t>
        </is>
      </c>
    </row>
    <row r="43">
      <c r="A43" s="3" t="inlineStr">
        <is>
          <t xml:space="preserve">logger</t>
        </is>
      </c>
      <c r="B43" s="3" t="inlineStr">
        <is>
          <t xml:space="preserve">LLD</t>
        </is>
      </c>
      <c r="C43" s="4">
        <f>HYPERLINK("DESIGNS.md#lld-logger","Logging framework")</f>
      </c>
      <c r="D43" s="3" t="inlineStr">
        <is>
          <t xml:space="preserve">41, 42</t>
        </is>
      </c>
    </row>
    <row r="44">
      <c r="A44" s="3" t="inlineStr">
        <is>
          <t xml:space="preserve">parking-lot</t>
        </is>
      </c>
      <c r="B44" s="3" t="inlineStr">
        <is>
          <t xml:space="preserve">LLD</t>
        </is>
      </c>
      <c r="C44" s="4">
        <f>HYPERLINK("DESIGNS.md#lld-parking-lot","Parking lot")</f>
      </c>
      <c r="D44" s="3" t="inlineStr">
        <is>
          <t xml:space="preserve">48, 55, 153</t>
        </is>
      </c>
    </row>
    <row r="45">
      <c r="A45" s="3" t="inlineStr">
        <is>
          <t xml:space="preserve">lru-cache</t>
        </is>
      </c>
      <c r="B45" s="3" t="inlineStr">
        <is>
          <t xml:space="preserve">LLD</t>
        </is>
      </c>
      <c r="C45" s="4">
        <f>HYPERLINK("DESIGNS.md#lld-lru-cache","LRU / LFU cache")</f>
      </c>
      <c r="D45" s="3" t="inlineStr">
        <is>
          <t xml:space="preserve">62</t>
        </is>
      </c>
    </row>
    <row r="46">
      <c r="A46" s="3" t="inlineStr">
        <is>
          <t xml:space="preserve">rate-limiter-lld</t>
        </is>
      </c>
      <c r="B46" s="3" t="inlineStr">
        <is>
          <t xml:space="preserve">LLD</t>
        </is>
      </c>
      <c r="C46" s="4">
        <f>HYPERLINK("DESIGNS.md#lld-rate-limiter-lld","Rate limiter / API throttling with a controllable clock")</f>
      </c>
      <c r="D46" s="3" t="inlineStr">
        <is>
          <t xml:space="preserve">97, 153</t>
        </is>
      </c>
    </row>
    <row r="47">
      <c r="A47" s="3" t="inlineStr">
        <is>
          <t xml:space="preserve">splitwise</t>
        </is>
      </c>
      <c r="B47" s="3" t="inlineStr">
        <is>
          <t xml:space="preserve">LLD</t>
        </is>
      </c>
      <c r="C47" s="4">
        <f>HYPERLINK("DESIGNS.md#lld-splitwise","Split-expense service (Splitwise)")</f>
      </c>
      <c r="D47" s="3" t="inlineStr">
        <is>
          <t xml:space="preserve">90</t>
        </is>
      </c>
    </row>
    <row r="48">
      <c r="A48" s="3" t="inlineStr">
        <is>
          <t xml:space="preserve">elevator</t>
        </is>
      </c>
      <c r="B48" s="3" t="inlineStr">
        <is>
          <t xml:space="preserve">LLD</t>
        </is>
      </c>
      <c r="C48" s="4">
        <f>HYPERLINK("DESIGNS.md#lld-elevator","Elevator system")</f>
      </c>
      <c r="D48" s="3" t="inlineStr">
        <is>
          <t xml:space="preserve">104</t>
        </is>
      </c>
    </row>
    <row r="49">
      <c r="A49" s="3" t="inlineStr">
        <is>
          <t xml:space="preserve">seat-reservation</t>
        </is>
      </c>
      <c r="B49" s="3" t="inlineStr">
        <is>
          <t xml:space="preserve">LLD</t>
        </is>
      </c>
      <c r="C49" s="4">
        <f>HYPERLINK("DESIGNS.md#lld-seat-reservation","Seat reservation with seat locking (BookMyShow)")</f>
      </c>
      <c r="D49" s="3" t="inlineStr">
        <is>
          <t xml:space="preserve">111</t>
        </is>
      </c>
    </row>
    <row r="50">
      <c r="A50" s="3" t="inlineStr">
        <is>
          <t xml:space="preserve">task-scheduler</t>
        </is>
      </c>
      <c r="B50" s="3" t="inlineStr">
        <is>
          <t xml:space="preserve">LLD</t>
        </is>
      </c>
      <c r="C50" s="4">
        <f>HYPERLINK("DESIGNS.md#lld-task-scheduler","Task scheduler")</f>
      </c>
      <c r="D50" s="3" t="inlineStr">
        <is>
          <t xml:space="preserve">149</t>
        </is>
      </c>
    </row>
    <row r="51">
      <c r="A51" s="3" t="inlineStr">
        <is>
          <t xml:space="preserve">vending-machine</t>
        </is>
      </c>
      <c r="B51" s="3" t="inlineStr">
        <is>
          <t xml:space="preserve">LLD</t>
        </is>
      </c>
      <c r="C51" s="4">
        <f>HYPERLINK("DESIGNS.md#lld-vending-machine","Vending machine (state pattern)")</f>
      </c>
      <c r="D51" s="3" t="inlineStr">
        <is>
          <t xml:space="preserve">142</t>
        </is>
      </c>
    </row>
    <row r="52">
      <c r="A52" s="3" t="inlineStr">
        <is>
          <t xml:space="preserve">atm</t>
        </is>
      </c>
      <c r="B52" s="3" t="inlineStr">
        <is>
          <t xml:space="preserve">LLD</t>
        </is>
      </c>
      <c r="C52" s="4">
        <f>HYPERLINK("DESIGNS.md#lld-atm","ATM")</f>
      </c>
      <c r="D52" s="3" t="inlineStr">
        <is>
          <t xml:space="preserve">156</t>
        </is>
      </c>
    </row>
    <row r="53">
      <c r="A53" s="3" t="inlineStr">
        <is>
          <t xml:space="preserve">tic-tac-toe</t>
        </is>
      </c>
      <c r="B53" s="3" t="inlineStr">
        <is>
          <t xml:space="preserve">LLD</t>
        </is>
      </c>
      <c r="C53" s="4">
        <f>HYPERLINK("DESIGNS.md#lld-tic-tac-toe","Tic-tac-toe")</f>
      </c>
      <c r="D53" s="3" t="inlineStr">
        <is>
          <t xml:space="preserve">180</t>
        </is>
      </c>
    </row>
    <row r="54">
      <c r="A54" s="3" t="inlineStr">
        <is>
          <t xml:space="preserve">chess</t>
        </is>
      </c>
      <c r="B54" s="3" t="inlineStr">
        <is>
          <t xml:space="preserve">LLD</t>
        </is>
      </c>
      <c r="C54" s="4">
        <f>HYPERLINK("DESIGNS.md#lld-chess","Chess")</f>
      </c>
      <c r="D54" s="3" t="inlineStr">
        <is>
          <t xml:space="preserve">182</t>
        </is>
      </c>
    </row>
    <row r="55">
      <c r="A55" s="3" t="inlineStr">
        <is>
          <t xml:space="preserve">snake-ladder</t>
        </is>
      </c>
      <c r="B55" s="3" t="inlineStr">
        <is>
          <t xml:space="preserve">LLD</t>
        </is>
      </c>
      <c r="C55" s="4">
        <f>HYPERLINK("DESIGNS.md#lld-snake-ladder","Snake and ladder")</f>
      </c>
      <c r="D55" s="3" t="inlineStr">
        <is>
          <t xml:space="preserve">187</t>
        </is>
      </c>
    </row>
    <row r="56">
      <c r="A56" s="3" t="inlineStr">
        <is>
          <t xml:space="preserve">library</t>
        </is>
      </c>
      <c r="B56" s="3" t="inlineStr">
        <is>
          <t xml:space="preserve">LLD</t>
        </is>
      </c>
      <c r="C56" s="4">
        <f>HYPERLINK("DESIGNS.md#lld-library","Library management system")</f>
      </c>
      <c r="D56" s="3" t="inlineStr">
        <is>
          <t xml:space="preserve">157</t>
        </is>
      </c>
    </row>
    <row r="57">
      <c r="A57" s="3" t="inlineStr">
        <is>
          <t xml:space="preserve">hotel-booking-lld</t>
        </is>
      </c>
      <c r="B57" s="3" t="inlineStr">
        <is>
          <t xml:space="preserve">LLD</t>
        </is>
      </c>
      <c r="C57" s="4">
        <f>HYPERLINK("DESIGNS.md#lld-hotel-booking-lld","Hotel booking")</f>
      </c>
      <c r="D57" s="3" t="inlineStr">
        <is>
          <t xml:space="preserve">189</t>
        </is>
      </c>
    </row>
    <row r="58">
      <c r="A58" s="3" t="inlineStr">
        <is>
          <t xml:space="preserve">notification-lld</t>
        </is>
      </c>
      <c r="B58" s="3" t="inlineStr">
        <is>
          <t xml:space="preserve">LLD</t>
        </is>
      </c>
      <c r="C58" s="4">
        <f>HYPERLINK("DESIGNS.md#lld-notification-lld","Notification system")</f>
      </c>
      <c r="D58" s="3" t="inlineStr">
        <is>
          <t xml:space="preserve">194</t>
        </is>
      </c>
    </row>
    <row r="59">
      <c r="A59" s="3" t="inlineStr">
        <is>
          <t xml:space="preserve">pub-sub</t>
        </is>
      </c>
      <c r="B59" s="3" t="inlineStr">
        <is>
          <t xml:space="preserve">LLD</t>
        </is>
      </c>
      <c r="C59" s="4">
        <f>HYPERLINK("DESIGNS.md#lld-pub-sub","Pub/sub message broker (in-memory)")</f>
      </c>
      <c r="D59" s="3" t="inlineStr">
        <is>
          <t xml:space="preserve">196</t>
        </is>
      </c>
    </row>
    <row r="60">
      <c r="A60" s="3" t="inlineStr">
        <is>
          <t xml:space="preserve">file-system</t>
        </is>
      </c>
      <c r="B60" s="3" t="inlineStr">
        <is>
          <t xml:space="preserve">LLD</t>
        </is>
      </c>
      <c r="C60" s="4">
        <f>HYPERLINK("DESIGNS.md#lld-file-system","In-memory file system")</f>
      </c>
      <c r="D60" s="3" t="inlineStr">
        <is>
          <t xml:space="preserve">201</t>
        </is>
      </c>
    </row>
    <row r="61">
      <c r="A61" s="3" t="inlineStr">
        <is>
          <t xml:space="preserve">food-delivery-lld</t>
        </is>
      </c>
      <c r="B61" s="3" t="inlineStr">
        <is>
          <t xml:space="preserve">LLD</t>
        </is>
      </c>
      <c r="C61" s="4">
        <f>HYPERLINK("DESIGNS.md#lld-food-delivery-lld","Food delivery app")</f>
      </c>
      <c r="D61" s="3" t="inlineStr">
        <is>
          <t xml:space="preserve">203</t>
        </is>
      </c>
    </row>
    <row r="62">
      <c r="A62" s="3" t="inlineStr">
        <is>
          <t xml:space="preserve">traffic-light</t>
        </is>
      </c>
      <c r="B62" s="3" t="inlineStr">
        <is>
          <t xml:space="preserve">LLD</t>
        </is>
      </c>
      <c r="C62" s="4">
        <f>HYPERLINK("DESIGNS.md#lld-traffic-light","Traffic light controller")</f>
      </c>
      <c r="D62" s="3" t="inlineStr">
        <is>
          <t xml:space="preserve">208</t>
        </is>
      </c>
    </row>
    <row r="63">
      <c r="A63" s="3" t="inlineStr">
        <is>
          <t xml:space="preserve">meeting-scheduler</t>
        </is>
      </c>
      <c r="B63" s="3" t="inlineStr">
        <is>
          <t xml:space="preserve">LLD</t>
        </is>
      </c>
      <c r="C63" s="4">
        <f>HYPERLINK("DESIGNS.md#lld-meeting-scheduler","Meeting room scheduler")</f>
      </c>
      <c r="D63" s="3" t="inlineStr">
        <is>
          <t xml:space="preserve">210</t>
        </is>
      </c>
    </row>
    <row r="64">
      <c r="A64" s="3" t="inlineStr">
        <is>
          <t xml:space="preserve">chat-lld</t>
        </is>
      </c>
      <c r="B64" s="3" t="inlineStr">
        <is>
          <t xml:space="preserve">LLD</t>
        </is>
      </c>
      <c r="C64" s="4">
        <f>HYPERLINK("DESIGNS.md#lld-chat-lld","Chat application")</f>
      </c>
      <c r="D64" s="3" t="inlineStr">
        <is>
          <t xml:space="preserve">215</t>
        </is>
      </c>
    </row>
    <row r="65">
      <c r="A65" s="3" t="inlineStr">
        <is>
          <t xml:space="preserve">reddit-lld</t>
        </is>
      </c>
      <c r="B65" s="3" t="inlineStr">
        <is>
          <t xml:space="preserve">LLD</t>
        </is>
      </c>
      <c r="C65" s="4">
        <f>HYPERLINK("DESIGNS.md#lld-reddit-lld","Community discussion platform (Reddit-like)")</f>
      </c>
      <c r="D65" s="3" t="inlineStr">
        <is>
          <t xml:space="preserve">217</t>
        </is>
      </c>
    </row>
    <row r="66">
      <c r="A66" s="3" t="inlineStr">
        <is>
          <t xml:space="preserve">linkedin-lld</t>
        </is>
      </c>
      <c r="B66" s="3" t="inlineStr">
        <is>
          <t xml:space="preserve">LLD</t>
        </is>
      </c>
      <c r="C66" s="4">
        <f>HYPERLINK("DESIGNS.md#lld-linkedin-lld","LinkedIn (connections, feed)")</f>
      </c>
      <c r="D66" s="3" t="inlineStr">
        <is>
          <t xml:space="preserve">222</t>
        </is>
      </c>
    </row>
    <row r="67">
      <c r="A67" s="3" t="inlineStr">
        <is>
          <t xml:space="preserve">calendar</t>
        </is>
      </c>
      <c r="B67" s="3" t="inlineStr">
        <is>
          <t xml:space="preserve">LLD</t>
        </is>
      </c>
      <c r="C67" s="4">
        <f>HYPERLINK("DESIGNS.md#lld-calendar","Calendar application")</f>
      </c>
      <c r="D67" s="3" t="inlineStr">
        <is>
          <t xml:space="preserve">224</t>
        </is>
      </c>
    </row>
    <row r="68">
      <c r="A68" s="3" t="inlineStr">
        <is>
          <t xml:space="preserve">voting</t>
        </is>
      </c>
      <c r="B68" s="3" t="inlineStr">
        <is>
          <t xml:space="preserve">LLD</t>
        </is>
      </c>
      <c r="C68" s="4">
        <f>HYPERLINK("DESIGNS.md#lld-voting","Online voting system")</f>
      </c>
      <c r="D68" s="3" t="inlineStr">
        <is>
          <t xml:space="preserve">117</t>
        </is>
      </c>
    </row>
    <row r="69">
      <c r="A69" s="3" t="inlineStr">
        <is>
          <t xml:space="preserve">url-shortener-lld</t>
        </is>
      </c>
      <c r="B69" s="3" t="inlineStr">
        <is>
          <t xml:space="preserve">LLD</t>
        </is>
      </c>
      <c r="C69" s="4">
        <f>HYPERLINK("DESIGNS.md#lld-url-shortener-lld","URL shortener")</f>
      </c>
      <c r="D69" s="3" t="inlineStr">
        <is>
          <t xml:space="preserve">119</t>
        </is>
      </c>
    </row>
    <row r="70">
      <c r="A70" s="3" t="inlineStr">
        <is>
          <t xml:space="preserve">uber-lld</t>
        </is>
      </c>
      <c r="B70" s="3" t="inlineStr">
        <is>
          <t xml:space="preserve">LLD</t>
        </is>
      </c>
      <c r="C70" s="4">
        <f>HYPERLINK("DESIGNS.md#lld-uber-lld","Ride sharing (Uber)")</f>
      </c>
      <c r="D70" s="3" t="inlineStr">
        <is>
          <t xml:space="preserve">124</t>
        </is>
      </c>
    </row>
    <row r="71">
      <c r="A71" s="3" t="inlineStr">
        <is>
          <t xml:space="preserve">airline</t>
        </is>
      </c>
      <c r="B71" s="3" t="inlineStr">
        <is>
          <t xml:space="preserve">LLD</t>
        </is>
      </c>
      <c r="C71" s="4">
        <f>HYPERLINK("DESIGNS.md#lld-airline","Airline management system")</f>
      </c>
      <c r="D71" s="3" t="inlineStr">
        <is>
          <t xml:space="preserve">126</t>
        </is>
      </c>
    </row>
    <row r="72">
      <c r="A72" s="3" t="inlineStr">
        <is>
          <t xml:space="preserve">restaurant</t>
        </is>
      </c>
      <c r="B72" s="3" t="inlineStr">
        <is>
          <t xml:space="preserve">LLD</t>
        </is>
      </c>
      <c r="C72" s="4">
        <f>HYPERLINK("DESIGNS.md#lld-restaurant","Restaurant management system")</f>
      </c>
      <c r="D72" s="3" t="inlineStr">
        <is>
          <t xml:space="preserve">131</t>
        </is>
      </c>
    </row>
    <row r="73">
      <c r="A73" s="3" t="inlineStr">
        <is>
          <t xml:space="preserve">car-rental</t>
        </is>
      </c>
      <c r="B73" s="3" t="inlineStr">
        <is>
          <t xml:space="preserve">LLD</t>
        </is>
      </c>
      <c r="C73" s="4">
        <f>HYPERLINK("DESIGNS.md#lld-car-rental","Car rental system")</f>
      </c>
      <c r="D73" s="3" t="inlineStr">
        <is>
          <t xml:space="preserve">133</t>
        </is>
      </c>
    </row>
    <row r="74">
      <c r="A74" s="3" t="inlineStr">
        <is>
          <t xml:space="preserve">order-management</t>
        </is>
      </c>
      <c r="B74" s="3" t="inlineStr">
        <is>
          <t xml:space="preserve">LLD</t>
        </is>
      </c>
      <c r="C74" s="4">
        <f>HYPERLINK("DESIGNS.md#lld-order-management","Amazon order management")</f>
      </c>
      <c r="D74" s="3" t="inlineStr">
        <is>
          <t xml:space="preserve">138</t>
        </is>
      </c>
    </row>
    <row r="75">
      <c r="A75" s="3" t="inlineStr">
        <is>
          <t xml:space="preserve">cricbuzz</t>
        </is>
      </c>
      <c r="B75" s="3" t="inlineStr">
        <is>
          <t xml:space="preserve">LLD</t>
        </is>
      </c>
      <c r="C75" s="4">
        <f>HYPERLINK("DESIGNS.md#lld-cricbuzz","Live cricket score (CricBuzz)")</f>
      </c>
      <c r="D75" s="3" t="inlineStr">
        <is>
          <t xml:space="preserve">140</t>
        </is>
      </c>
    </row>
    <row r="76">
      <c r="A76" s="3" t="inlineStr">
        <is>
          <t xml:space="preserve">truecaller</t>
        </is>
      </c>
      <c r="B76" s="3" t="inlineStr">
        <is>
          <t xml:space="preserve">LLD</t>
        </is>
      </c>
      <c r="C76" s="4">
        <f>HYPERLINK("DESIGNS.md#lld-truecaller","Caller ID (Truecaller)")</f>
      </c>
      <c r="D76" s="3" t="inlineStr">
        <is>
          <t xml:space="preserve">145</t>
        </is>
      </c>
    </row>
    <row r="77">
      <c r="A77" s="3" t="inlineStr">
        <is>
          <t xml:space="preserve">stock-exchange</t>
        </is>
      </c>
      <c r="B77" s="3" t="inlineStr">
        <is>
          <t xml:space="preserve">LLD</t>
        </is>
      </c>
      <c r="C77" s="4">
        <f>HYPERLINK("DESIGNS.md#lld-stock-exchange","Stock exchange order matching")</f>
      </c>
      <c r="D77" s="3" t="inlineStr">
        <is>
          <t xml:space="preserve">147</t>
        </is>
      </c>
    </row>
    <row r="78">
      <c r="A78" s="3" t="inlineStr">
        <is>
          <t xml:space="preserve">lms</t>
        </is>
      </c>
      <c r="B78" s="3" t="inlineStr">
        <is>
          <t xml:space="preserve">LLD</t>
        </is>
      </c>
      <c r="C78" s="4">
        <f>HYPERLINK("DESIGNS.md#lld-lms","Learning management system")</f>
      </c>
      <c r="D78" s="3" t="inlineStr">
        <is>
          <t xml:space="preserve">152</t>
        </is>
      </c>
    </row>
    <row r="79">
      <c r="A79" s="3" t="inlineStr">
        <is>
          <t xml:space="preserve">payment-lld</t>
        </is>
      </c>
      <c r="B79" s="3" t="inlineStr">
        <is>
          <t xml:space="preserve">LLD</t>
        </is>
      </c>
      <c r="C79" s="4">
        <f>HYPERLINK("DESIGNS.md#lld-payment-lld","Payment system")</f>
      </c>
      <c r="D79" s="3" t="inlineStr">
        <is>
          <t xml:space="preserve">154</t>
        </is>
      </c>
    </row>
    <row r="80">
      <c r="A80" s="3" t="inlineStr">
        <is>
          <t xml:space="preserve">autocomplete-lld</t>
        </is>
      </c>
      <c r="B80" s="3" t="inlineStr">
        <is>
          <t xml:space="preserve">LLD</t>
        </is>
      </c>
      <c r="C80" s="4">
        <f>HYPERLINK("DESIGNS.md#lld-autocomplete-lld","Search autocomplete (trie service)")</f>
      </c>
      <c r="D80" s="3" t="inlineStr">
        <is>
          <t xml:space="preserve">159</t>
        </is>
      </c>
    </row>
    <row r="81">
      <c r="A81" s="3" t="inlineStr">
        <is>
          <t xml:space="preserve">inventory</t>
        </is>
      </c>
      <c r="B81" s="3" t="inlineStr">
        <is>
          <t xml:space="preserve">LLD</t>
        </is>
      </c>
      <c r="C81" s="4">
        <f>HYPERLINK("DESIGNS.md#lld-inventory","Inventory management")</f>
      </c>
      <c r="D81" s="3" t="inlineStr">
        <is>
          <t xml:space="preserve">161</t>
        </is>
      </c>
    </row>
    <row r="82">
      <c r="A82" s="3" t="inlineStr">
        <is>
          <t xml:space="preserve">feature-flags</t>
        </is>
      </c>
      <c r="B82" s="3" t="inlineStr">
        <is>
          <t xml:space="preserve">LLD</t>
        </is>
      </c>
      <c r="C82" s="4">
        <f>HYPERLINK("DESIGNS.md#lld-feature-flags","Feature flag system")</f>
      </c>
      <c r="D82" s="3" t="inlineStr">
        <is>
          <t xml:space="preserve">166</t>
        </is>
      </c>
    </row>
    <row r="83">
      <c r="A83" s="3" t="inlineStr">
        <is>
          <t xml:space="preserve">snowflake-id</t>
        </is>
      </c>
      <c r="B83" s="3" t="inlineStr">
        <is>
          <t xml:space="preserve">LLD</t>
        </is>
      </c>
      <c r="C83" s="4">
        <f>HYPERLINK("DESIGNS.md#lld-snowflake-id","Distributed ID generator (Snowflake)")</f>
      </c>
      <c r="D83" s="3" t="inlineStr">
        <is>
          <t xml:space="preserve">168</t>
        </is>
      </c>
    </row>
    <row r="84">
      <c r="A84" s="3" t="inlineStr">
        <is>
          <t xml:space="preserve">circuit-breaker</t>
        </is>
      </c>
      <c r="B84" s="3" t="inlineStr">
        <is>
          <t xml:space="preserve">LLD</t>
        </is>
      </c>
      <c r="C84" s="4">
        <f>HYPERLINK("DESIGNS.md#lld-circuit-breaker","Circuit breaker")</f>
      </c>
      <c r="D84" s="3" t="inlineStr">
        <is>
          <t xml:space="preserve">173</t>
        </is>
      </c>
    </row>
    <row r="85">
      <c r="A85" s="3" t="inlineStr">
        <is>
          <t xml:space="preserve">retry-backoff</t>
        </is>
      </c>
      <c r="B85" s="3" t="inlineStr">
        <is>
          <t xml:space="preserve">LLD</t>
        </is>
      </c>
      <c r="C85" s="4">
        <f>HYPERLINK("DESIGNS.md#lld-retry-backoff","Retry with backoff")</f>
      </c>
      <c r="D85" s="3" t="inlineStr">
        <is>
          <t xml:space="preserve">175</t>
        </is>
      </c>
    </row>
    <row r="86">
      <c r="A86" s="3" t="inlineStr">
        <is>
          <t xml:space="preserve">metrics-lld</t>
        </is>
      </c>
      <c r="B86" s="3" t="inlineStr">
        <is>
          <t xml:space="preserve">LLD</t>
        </is>
      </c>
      <c r="C86" s="4">
        <f>HYPERLINK("DESIGNS.md#lld-metrics-lld","Metrics and monitoring")</f>
      </c>
      <c r="D86" s="3" t="inlineStr">
        <is>
          <t xml:space="preserve">180</t>
        </is>
      </c>
    </row>
    <row r="87">
      <c r="A87" s="3" t="inlineStr">
        <is>
          <t xml:space="preserve">auth-system</t>
        </is>
      </c>
      <c r="B87" s="3" t="inlineStr">
        <is>
          <t xml:space="preserve">LLD</t>
        </is>
      </c>
      <c r="C87" s="4">
        <f>HYPERLINK("DESIGNS.md#lld-auth-system","Authentication system")</f>
      </c>
      <c r="D87" s="3" t="inlineStr">
        <is>
          <t xml:space="preserve">182</t>
        </is>
      </c>
    </row>
    <row r="88">
      <c r="A88" s="3" t="inlineStr">
        <is>
          <t xml:space="preserve">rbac</t>
        </is>
      </c>
      <c r="B88" s="3" t="inlineStr">
        <is>
          <t xml:space="preserve">LLD</t>
        </is>
      </c>
      <c r="C88" s="4">
        <f>HYPERLINK("DESIGNS.md#lld-rbac","Role-based access control (RBAC)")</f>
      </c>
      <c r="D88" s="3" t="inlineStr">
        <is>
          <t xml:space="preserve">187</t>
        </is>
      </c>
    </row>
    <row r="89">
      <c r="A89" s="3" t="inlineStr">
        <is>
          <t xml:space="preserve">web-crawler-lld</t>
        </is>
      </c>
      <c r="B89" s="3" t="inlineStr">
        <is>
          <t xml:space="preserve">LLD</t>
        </is>
      </c>
      <c r="C89" s="4">
        <f>HYPERLINK("DESIGNS.md#lld-web-crawler-lld","Web crawler")</f>
      </c>
      <c r="D89" s="3" t="inlineStr">
        <is>
          <t xml:space="preserve">189</t>
        </is>
      </c>
    </row>
    <row r="90">
      <c r="A90" s="3" t="inlineStr">
        <is>
          <t xml:space="preserve">recommendation-lld</t>
        </is>
      </c>
      <c r="B90" s="3" t="inlineStr">
        <is>
          <t xml:space="preserve">LLD</t>
        </is>
      </c>
      <c r="C90" s="4">
        <f>HYPERLINK("DESIGNS.md#lld-recommendation-lld","Recommendation engine")</f>
      </c>
      <c r="D90" s="3" t="inlineStr">
        <is>
          <t xml:space="preserve">194</t>
        </is>
      </c>
    </row>
    <row r="91">
      <c r="A91" s="3" t="inlineStr">
        <is>
          <t xml:space="preserve">producer-consumer</t>
        </is>
      </c>
      <c r="B91" s="3" t="inlineStr">
        <is>
          <t xml:space="preserve">LLD</t>
        </is>
      </c>
      <c r="C91" s="4">
        <f>HYPERLINK("DESIGNS.md#lld-producer-consumer","Event-driven producer-consumer")</f>
      </c>
      <c r="D91" s="3" t="inlineStr">
        <is>
          <t xml:space="preserve">196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18" customWidth="1"/>
    <col min="3" max="3" width="11" customWidth="1"/>
    <col min="4" max="4" width="10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</cols>
  <sheetData>
    <row r="1">
      <c r="A1" s="1" t="inlineStr">
        <is>
          <t xml:space="preserve">Story (real only)</t>
        </is>
      </c>
      <c r="B1" s="1" t="inlineStr">
        <is>
          <t xml:space="preserve">From</t>
        </is>
      </c>
      <c r="C1" s="1" t="inlineStr">
        <is>
          <t xml:space="preserve">Worksheet</t>
        </is>
      </c>
      <c r="D1" s="1" t="inlineStr">
        <is>
          <t xml:space="preserve">Recorded</t>
        </is>
      </c>
      <c r="E1" s="1" t="inlineStr">
        <is>
          <t xml:space="preserve">Customer Obsession</t>
        </is>
      </c>
      <c r="F1" s="1" t="inlineStr">
        <is>
          <t xml:space="preserve">Ownership</t>
        </is>
      </c>
      <c r="G1" s="1" t="inlineStr">
        <is>
          <t xml:space="preserve">Invent and Simplify</t>
        </is>
      </c>
      <c r="H1" s="1" t="inlineStr">
        <is>
          <t xml:space="preserve">Are Right, A Lot</t>
        </is>
      </c>
      <c r="I1" s="1" t="inlineStr">
        <is>
          <t xml:space="preserve">Learn and Be Curious</t>
        </is>
      </c>
      <c r="J1" s="1" t="inlineStr">
        <is>
          <t xml:space="preserve">Hire and Develop the Best</t>
        </is>
      </c>
      <c r="K1" s="1" t="inlineStr">
        <is>
          <t xml:space="preserve">Insist on the Highest Standards</t>
        </is>
      </c>
      <c r="L1" s="1" t="inlineStr">
        <is>
          <t xml:space="preserve">Think Big</t>
        </is>
      </c>
      <c r="M1" s="1" t="inlineStr">
        <is>
          <t xml:space="preserve">Bias for Action</t>
        </is>
      </c>
      <c r="N1" s="1" t="inlineStr">
        <is>
          <t xml:space="preserve">Frugality</t>
        </is>
      </c>
      <c r="O1" s="1" t="inlineStr">
        <is>
          <t xml:space="preserve">Earn Trust</t>
        </is>
      </c>
      <c r="P1" s="1" t="inlineStr">
        <is>
          <t xml:space="preserve">Dive Deep</t>
        </is>
      </c>
      <c r="Q1" s="1" t="inlineStr">
        <is>
          <t xml:space="preserve">Have Backbone; Disagree and Commit</t>
        </is>
      </c>
      <c r="R1" s="1" t="inlineStr">
        <is>
          <t xml:space="preserve">Deliver Results</t>
        </is>
      </c>
      <c r="S1" s="1" t="inlineStr">
        <is>
          <t xml:space="preserve">Strive to be Earth's Best Employer</t>
        </is>
      </c>
      <c r="T1" s="1" t="inlineStr">
        <is>
          <t xml:space="preserve">Success and Scale Bring Broad Responsibility</t>
        </is>
      </c>
    </row>
    <row r="2">
      <c r="A2" s="3" t="inlineStr">
        <is>
          <t xml:space="preserve">Email pipeline: 7–10 h → about 1–1.5 h (flagship)</t>
        </is>
      </c>
      <c r="B2" s="3" t="inlineStr">
        <is>
          <t xml:space="preserve">Casepoint</t>
        </is>
      </c>
      <c r="C2" s="3" t="inlineStr">
        <is>
          <t xml:space="preserve">No</t>
        </is>
      </c>
      <c r="D2" s="3" t="inlineStr">
        <is>
          <t xml:space="preserve">No</t>
        </is>
      </c>
    </row>
    <row r="3">
      <c r="A3" s="3" t="inlineStr">
        <is>
          <t xml:space="preserve">Embedding eligibility counts: 11 queries → 2 set-based</t>
        </is>
      </c>
      <c r="B3" s="3" t="inlineStr">
        <is>
          <t xml:space="preserve">Casepoint</t>
        </is>
      </c>
      <c r="C3" s="3" t="inlineStr">
        <is>
          <t xml:space="preserve">No</t>
        </is>
      </c>
      <c r="D3" s="3" t="inlineStr">
        <is>
          <t xml:space="preserve">No</t>
        </is>
      </c>
    </row>
    <row r="4">
      <c r="A4" s="3" t="inlineStr">
        <is>
          <t xml:space="preserve">FOIA / regulated disclosure workflows</t>
        </is>
      </c>
      <c r="B4" s="3" t="inlineStr">
        <is>
          <t xml:space="preserve">Casepoint</t>
        </is>
      </c>
      <c r="C4" s="3" t="inlineStr">
        <is>
          <t xml:space="preserve">No</t>
        </is>
      </c>
      <c r="D4" s="3" t="inlineStr">
        <is>
          <t xml:space="preserve">No</t>
        </is>
      </c>
    </row>
    <row r="5">
      <c r="A5" s="3" t="inlineStr">
        <is>
          <t xml:space="preserve">Legacy code: tracing paths before changing</t>
        </is>
      </c>
      <c r="B5" s="3" t="inlineStr">
        <is>
          <t xml:space="preserve">Casepoint</t>
        </is>
      </c>
      <c r="C5" s="3" t="inlineStr">
        <is>
          <t xml:space="preserve">No</t>
        </is>
      </c>
      <c r="D5" s="3" t="inlineStr">
        <is>
          <t xml:space="preserve">No</t>
        </is>
      </c>
    </row>
    <row r="6">
      <c r="A6" s="3" t="inlineStr">
        <is>
          <t xml:space="preserve">SQL / index tuning on eDiscovery data</t>
        </is>
      </c>
      <c r="B6" s="3" t="inlineStr">
        <is>
          <t xml:space="preserve">Casepoint</t>
        </is>
      </c>
      <c r="C6" s="3" t="inlineStr">
        <is>
          <t xml:space="preserve">No</t>
        </is>
      </c>
      <c r="D6" s="3" t="inlineStr">
        <is>
          <t xml:space="preserve">No</t>
        </is>
      </c>
    </row>
    <row r="7">
      <c r="A7" s="3" t="inlineStr">
        <is>
          <t xml:space="preserve">Multilingual processing</t>
        </is>
      </c>
      <c r="B7" s="3" t="inlineStr">
        <is>
          <t xml:space="preserve">Casepoint</t>
        </is>
      </c>
      <c r="C7" s="3" t="inlineStr">
        <is>
          <t xml:space="preserve">No</t>
        </is>
      </c>
      <c r="D7" s="3" t="inlineStr">
        <is>
          <t xml:space="preserve">No</t>
        </is>
      </c>
    </row>
    <row r="8">
      <c r="A8" s="3" t="inlineStr">
        <is>
          <t xml:space="preserve">Production incident resolution</t>
        </is>
      </c>
      <c r="B8" s="3" t="inlineStr">
        <is>
          <t xml:space="preserve">Vision Infotech</t>
        </is>
      </c>
      <c r="C8" s="3" t="inlineStr">
        <is>
          <t xml:space="preserve">No</t>
        </is>
      </c>
      <c r="D8" s="3" t="inlineStr">
        <is>
          <t xml:space="preserve">No</t>
        </is>
      </c>
    </row>
    <row r="9">
      <c r="A9" s="3" t="inlineStr">
        <is>
          <t xml:space="preserve">Client modules end to end</t>
        </is>
      </c>
      <c r="B9" s="3" t="inlineStr">
        <is>
          <t xml:space="preserve">Vision Infotech</t>
        </is>
      </c>
      <c r="C9" s="3" t="inlineStr">
        <is>
          <t xml:space="preserve">No</t>
        </is>
      </c>
      <c r="D9" s="3" t="inlineStr">
        <is>
          <t xml:space="preserve">No</t>
        </is>
      </c>
    </row>
    <row r="10">
      <c r="A10" s="3" t="inlineStr">
        <is>
          <t xml:space="preserve">SignalR + FCM messaging (VCDoctor)</t>
        </is>
      </c>
      <c r="B10" s="3" t="inlineStr">
        <is>
          <t xml:space="preserve">Vision Infotech</t>
        </is>
      </c>
      <c r="C10" s="3" t="inlineStr">
        <is>
          <t xml:space="preserve">No</t>
        </is>
      </c>
      <c r="D10" s="3" t="inlineStr">
        <is>
          <t xml:space="preserve">No</t>
        </is>
      </c>
    </row>
    <row r="11">
      <c r="A11" s="3" t="inlineStr">
        <is>
          <t xml:space="preserve">Payments: Stripe / PayPal / CCAvenue</t>
        </is>
      </c>
      <c r="B11" s="3" t="inlineStr">
        <is>
          <t xml:space="preserve">Vision / Zibma</t>
        </is>
      </c>
      <c r="C11" s="3" t="inlineStr">
        <is>
          <t xml:space="preserve">No</t>
        </is>
      </c>
      <c r="D11" s="3" t="inlineStr">
        <is>
          <t xml:space="preserve">No</t>
        </is>
      </c>
    </row>
    <row r="12">
      <c r="A12" s="3" t="inlineStr">
        <is>
          <t xml:space="preserve">Vonage video (VCDoctor)</t>
        </is>
      </c>
      <c r="B12" s="3" t="inlineStr">
        <is>
          <t xml:space="preserve">Vision Infotech</t>
        </is>
      </c>
      <c r="C12" s="3" t="inlineStr">
        <is>
          <t xml:space="preserve">No</t>
        </is>
      </c>
      <c r="D12" s="3" t="inlineStr">
        <is>
          <t xml:space="preserve">No</t>
        </is>
      </c>
    </row>
    <row r="13">
      <c r="A13" s="3" t="inlineStr">
        <is>
          <t xml:space="preserve">100k+ record performance (ERP)</t>
        </is>
      </c>
      <c r="B13" s="3" t="inlineStr">
        <is>
          <t xml:space="preserve">Zibma Infotech</t>
        </is>
      </c>
      <c r="C13" s="3" t="inlineStr">
        <is>
          <t xml:space="preserve">No</t>
        </is>
      </c>
      <c r="D13" s="3" t="inlineStr">
        <is>
          <t xml:space="preserve">No</t>
        </is>
      </c>
    </row>
    <row r="14">
      <c r="A14" s="3" t="inlineStr">
        <is>
          <t xml:space="preserve">ERP reporting / .NET Core APIs into ASP.NET</t>
        </is>
      </c>
      <c r="B14" s="3" t="inlineStr">
        <is>
          <t xml:space="preserve">Zibma Infotech</t>
        </is>
      </c>
      <c r="C14" s="3" t="inlineStr">
        <is>
          <t xml:space="preserve">No</t>
        </is>
      </c>
      <c r="D14" s="3" t="inlineStr">
        <is>
          <t xml:space="preserve">No</t>
        </is>
      </c>
    </row>
    <row r="15">
      <c r="A15" s="3" t="inlineStr">
        <is>
          <t xml:space="preserve">Disagreement with a senior — FIND A REAL ONE</t>
        </is>
      </c>
      <c r="C15" s="3" t="inlineStr">
        <is>
          <t xml:space="preserve">No</t>
        </is>
      </c>
      <c r="D15" s="3" t="inlineStr">
        <is>
          <t xml:space="preserve">No</t>
        </is>
      </c>
    </row>
    <row r="16">
      <c r="A16" s="3" t="inlineStr">
        <is>
          <t xml:space="preserve">Hard feedback / I was wrong — FIND A REAL ONE</t>
        </is>
      </c>
      <c r="C16" s="3" t="inlineStr">
        <is>
          <t xml:space="preserve">No</t>
        </is>
      </c>
      <c r="D16" s="3" t="inlineStr">
        <is>
          <t xml:space="preserve">No</t>
        </is>
      </c>
    </row>
    <row r="17">
      <c r="A17" s="3" t="inlineStr">
        <is>
          <t xml:space="preserve">Helping a junior — only if real</t>
        </is>
      </c>
      <c r="C17" s="3" t="inlineStr">
        <is>
          <t xml:space="preserve">No</t>
        </is>
      </c>
      <c r="D17" s="3" t="inlineStr">
        <is>
          <t xml:space="preserve">No</t>
        </is>
      </c>
    </row>
    <row r="18">
      <c r="A18" s="3" t="inlineStr">
        <is>
          <t xml:space="preserve">The job platform project — only after it is built</t>
        </is>
      </c>
      <c r="B18" s="3" t="inlineStr">
        <is>
          <t xml:space="preserve">Study project</t>
        </is>
      </c>
      <c r="C18" s="3" t="inlineStr">
        <is>
          <t xml:space="preserve">No</t>
        </is>
      </c>
      <c r="D18" s="3" t="inlineStr">
        <is>
          <t xml:space="preserve">No</t>
        </is>
      </c>
    </row>
  </sheetData>
  <dataValidations count="1">
    <dataValidation type="list" allowBlank="1" showDropDown="0" sqref="C2:D60">
      <formula1>"Yes,No"</formula1>
    </dataValidation>
  </dataValidation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90" customWidth="1"/>
    <col min="3" max="3" width="16" customWidth="1"/>
  </cols>
  <sheetData>
    <row r="1">
      <c r="A1" s="1" t="inlineStr">
        <is>
          <t xml:space="preserve">Date</t>
        </is>
      </c>
      <c r="B1" s="1" t="inlineStr">
        <is>
          <t xml:space="preserve">One line: problem, decision, outcome</t>
        </is>
      </c>
      <c r="C1" s="1" t="inlineStr">
        <is>
          <t xml:space="preserve">Story candidate?</t>
        </is>
      </c>
    </row>
  </sheetData>
  <dataValidations count="1">
    <dataValidation type="list" allowBlank="1" showDropDown="0" sqref="C2:C1000">
      <formula1>"Yes,No"</formula1>
    </dataValidation>
  </dataValidation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60" customWidth="1"/>
    <col min="4" max="4" width="60" customWidth="1"/>
    <col min="5" max="5" width="14" customWidth="1"/>
    <col min="6" max="6" width="40" customWidth="1"/>
  </cols>
  <sheetData>
    <row r="1">
      <c r="A1" s="1" t="inlineStr">
        <is>
          <t xml:space="preserve">Milestone</t>
        </is>
      </c>
      <c r="B1" s="1" t="inlineStr">
        <is>
          <t xml:space="preserve">Week</t>
        </is>
      </c>
      <c r="C1" s="1" t="inlineStr">
        <is>
          <t xml:space="preserve">Build</t>
        </is>
      </c>
      <c r="D1" s="1" t="inlineStr">
        <is>
          <t xml:space="preserve">Acceptance test</t>
        </is>
      </c>
      <c r="E1" s="1" t="inlineStr">
        <is>
          <t xml:space="preserve">Status</t>
        </is>
      </c>
      <c r="F1" s="1" t="inlineStr">
        <is>
          <t xml:space="preserve">Evidence (link / note)</t>
        </is>
      </c>
    </row>
    <row r="2">
      <c r="A2" s="3" t="inlineStr">
        <is>
          <t xml:space="preserve">M1</t>
        </is>
      </c>
      <c r="B2" s="3">
        <v>11</v>
      </c>
      <c r="C2" s="3" t="inlineStr">
        <is>
          <t xml:space="preserve">Small API, durable metadata, state machine</t>
        </is>
      </c>
      <c r="D2" s="3" t="inlineStr">
        <is>
          <t xml:space="preserve">Job readable after restart; illegal transition rejected</t>
        </is>
      </c>
      <c r="E2" s="3" t="inlineStr">
        <is>
          <t xml:space="preserve">Not started</t>
        </is>
      </c>
    </row>
    <row r="3">
      <c r="A3" s="3" t="inlineStr">
        <is>
          <t xml:space="preserve">M2</t>
        </is>
      </c>
      <c r="B3" s="3">
        <v>12</v>
      </c>
      <c r="C3" s="3" t="inlineStr">
        <is>
          <t xml:space="preserve">RabbitMQ + worker, attempt history, graceful shutdown</t>
        </is>
      </c>
      <c r="D3" s="3" t="inlineStr">
        <is>
          <t xml:space="preserve">Stopped worker → message redelivered, job finishes</t>
        </is>
      </c>
      <c r="E3" s="3" t="inlineStr">
        <is>
          <t xml:space="preserve">Not started</t>
        </is>
      </c>
    </row>
    <row r="4">
      <c r="A4" s="3" t="inlineStr">
        <is>
          <t xml:space="preserve">M3</t>
        </is>
      </c>
      <c r="B4" s="3">
        <v>13</v>
      </c>
      <c r="C4" s="3" t="inlineStr">
        <is>
          <t xml:space="preserve">Transactional outbox + relay</t>
        </is>
      </c>
      <c r="D4" s="3" t="inlineStr">
        <is>
          <t xml:space="preserve">Crash between commit and publish → job still delivered</t>
        </is>
      </c>
      <c r="E4" s="3" t="inlineStr">
        <is>
          <t xml:space="preserve">Not started</t>
        </is>
      </c>
    </row>
    <row r="5">
      <c r="A5" s="3" t="inlineStr">
        <is>
          <t xml:space="preserve">M4</t>
        </is>
      </c>
      <c r="B5" s="3">
        <v>14</v>
      </c>
      <c r="C5" s="3" t="inlineStr">
        <is>
          <t xml:space="preserve">Idempotent consumption and submission</t>
        </is>
      </c>
      <c r="D5" s="3" t="inlineStr">
        <is>
          <t xml:space="preserve">Duplicate delivery → one effect; duplicate POST → same response</t>
        </is>
      </c>
      <c r="E5" s="3" t="inlineStr">
        <is>
          <t xml:space="preserve">Not started</t>
        </is>
      </c>
    </row>
    <row r="6">
      <c r="A6" s="3" t="inlineStr">
        <is>
          <t xml:space="preserve">M5</t>
        </is>
      </c>
      <c r="B6" s="3">
        <v>15</v>
      </c>
      <c r="C6" s="3" t="inlineStr">
        <is>
          <t xml:space="preserve">Security</t>
        </is>
      </c>
      <c r="D6" s="3" t="inlineStr">
        <is>
          <t xml:space="preserve">10 security tests pass, incl. cross-tenant 404</t>
        </is>
      </c>
      <c r="E6" s="3" t="inlineStr">
        <is>
          <t xml:space="preserve">Not started</t>
        </is>
      </c>
    </row>
    <row r="7">
      <c r="A7" s="3" t="inlineStr">
        <is>
          <t xml:space="preserve">M6</t>
        </is>
      </c>
      <c r="B7" s="3">
        <v>16</v>
      </c>
      <c r="C7" s="3" t="inlineStr">
        <is>
          <t xml:space="preserve">Docker Compose + CI</t>
        </is>
      </c>
      <c r="D7" s="3" t="inlineStr">
        <is>
          <t xml:space="preserve">Clean clone runs; failing test blocks merge</t>
        </is>
      </c>
      <c r="E7" s="3" t="inlineStr">
        <is>
          <t xml:space="preserve">Not started</t>
        </is>
      </c>
    </row>
    <row r="8">
      <c r="A8" s="3" t="inlineStr">
        <is>
          <t xml:space="preserve">M7</t>
        </is>
      </c>
      <c r="B8" s="3">
        <v>17</v>
      </c>
      <c r="C8" s="3" t="inlineStr">
        <is>
          <t xml:space="preserve">Retries, DLQ/replay, leases/reaper, cancellation</t>
        </is>
      </c>
      <c r="D8" s="3" t="inlineStr">
        <is>
          <t xml:space="preserve">Kill worker mid-job → completes; poison → DLQ → replay</t>
        </is>
      </c>
      <c r="E8" s="3" t="inlineStr">
        <is>
          <t xml:space="preserve">Not started</t>
        </is>
      </c>
    </row>
    <row r="9">
      <c r="A9" s="3" t="inlineStr">
        <is>
          <t xml:space="preserve">M8</t>
        </is>
      </c>
      <c r="B9" s="3">
        <v>18</v>
      </c>
      <c r="C9" s="3" t="inlineStr">
        <is>
          <t xml:space="preserve">Fairness, observability, deployment</t>
        </is>
      </c>
      <c r="D9" s="3" t="inlineStr">
        <is>
          <t xml:space="preserve">Noisy tenant cannot starve; one job traced end to end</t>
        </is>
      </c>
      <c r="E9" s="3" t="inlineStr">
        <is>
          <t xml:space="preserve">Not started</t>
        </is>
      </c>
    </row>
    <row r="10">
      <c r="A10" s="3" t="inlineStr">
        <is>
          <t xml:space="preserve">M9</t>
        </is>
      </c>
      <c r="B10" s="3">
        <v>19</v>
      </c>
      <c r="C10" s="3" t="inlineStr">
        <is>
          <t xml:space="preserve">Load tests, failure tests, restore</t>
        </is>
      </c>
      <c r="D10" s="3" t="inlineStr">
        <is>
          <t xml:space="preserve">Benchmark report complete; restore verified</t>
        </is>
      </c>
      <c r="E10" s="3" t="inlineStr">
        <is>
          <t xml:space="preserve">Not started</t>
        </is>
      </c>
    </row>
    <row r="11">
      <c r="A11" s="3" t="inlineStr">
        <is>
          <t xml:space="preserve">M10</t>
        </is>
      </c>
      <c r="B11" s="3">
        <v>20</v>
      </c>
      <c r="C11" s="3" t="inlineStr">
        <is>
          <t xml:space="preserve">README, decisions, defense, scope freeze</t>
        </is>
      </c>
      <c r="D11" s="3" t="inlineStr">
        <is>
          <t xml:space="preserve">15-minute defense recorded</t>
        </is>
      </c>
      <c r="E11" s="3" t="inlineStr">
        <is>
          <t xml:space="preserve">Not started</t>
        </is>
      </c>
    </row>
    <row r="12">
      <c r="A12" s="3" t="inlineStr">
        <is>
          <t xml:space="preserve">M11</t>
        </is>
      </c>
      <c r="B12" s="3" t="inlineStr">
        <is>
          <t xml:space="preserve">25–28</t>
        </is>
      </c>
      <c r="C12" s="3" t="inlineStr">
        <is>
          <t xml:space="preserve">AI increment (indexing, retrieval, evaluation, optional MCP)</t>
        </is>
      </c>
      <c r="D12" s="3" t="inlineStr">
        <is>
          <t xml:space="preserve">Measured recall@k; negative security tests</t>
        </is>
      </c>
      <c r="E12" s="3" t="inlineStr">
        <is>
          <t xml:space="preserve">Not started</t>
        </is>
      </c>
    </row>
    <row r="13">
      <c r="A13" s="3" t="inlineStr">
        <is>
          <t xml:space="preserve">M12</t>
        </is>
      </c>
      <c r="B13" s="3">
        <v>29</v>
      </c>
      <c r="C13" s="3" t="inlineStr">
        <is>
          <t xml:space="preserve">Optional: Kubernetes/KEDA or SQS port</t>
        </is>
      </c>
      <c r="D13" s="3" t="inlineStr">
        <is>
          <t xml:space="preserve">Runs, with a written limitation</t>
        </is>
      </c>
      <c r="E13" s="3" t="inlineStr">
        <is>
          <t xml:space="preserve">Not started</t>
        </is>
      </c>
    </row>
  </sheetData>
  <dataValidations count="1">
    <dataValidation type="list" allowBlank="1" showDropDown="0" sqref="E2:E20">
      <formula1>"Not started,In progress,Done,Needs review,Deferred"</formula1>
    </dataValidation>
  </dataValidation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6" customWidth="1"/>
    <col min="2" max="2" width="14" customWidth="1"/>
    <col min="3" max="3" width="34" customWidth="1"/>
    <col min="4" max="4" width="12" customWidth="1"/>
    <col min="5" max="5" width="14" customWidth="1"/>
    <col min="6" max="6" width="14" customWidth="1"/>
    <col min="7" max="7" width="13" customWidth="1"/>
    <col min="8" max="8" width="12" customWidth="1"/>
    <col min="9" max="9" width="14" customWidth="1"/>
    <col min="10" max="10" width="30" customWidth="1"/>
    <col min="11" max="11" width="13" customWidth="1"/>
  </cols>
  <sheetData>
    <row r="1">
      <c r="A1" s="1" t="inlineStr">
        <is>
          <t xml:space="preserve">Company</t>
        </is>
      </c>
      <c r="B1" s="1" t="inlineStr">
        <is>
          <t xml:space="preserve">Country</t>
        </is>
      </c>
      <c r="C1" s="1" t="inlineStr">
        <is>
          <t xml:space="preserve">Route / note</t>
        </is>
      </c>
      <c r="D1" s="1" t="inlineStr">
        <is>
          <t xml:space="preserve">Tier</t>
        </is>
      </c>
      <c r="E1" s="1" t="inlineStr">
        <is>
          <t xml:space="preserve">On sponsor register?</t>
        </is>
      </c>
      <c r="F1" s="1" t="inlineStr">
        <is>
          <t xml:space="preserve">LinkedIn test</t>
        </is>
      </c>
      <c r="G1" s="1" t="inlineStr">
        <is>
          <t xml:space="preserve">Applied on</t>
        </is>
      </c>
      <c r="H1" s="1" t="inlineStr">
        <is>
          <t xml:space="preserve">Referral</t>
        </is>
      </c>
      <c r="I1" s="1" t="inlineStr">
        <is>
          <t xml:space="preserve">Stage</t>
        </is>
      </c>
      <c r="J1" s="1" t="inlineStr">
        <is>
          <t xml:space="preserve">Next action</t>
        </is>
      </c>
      <c r="K1" s="1" t="inlineStr">
        <is>
          <t xml:space="preserve">By when</t>
        </is>
      </c>
    </row>
    <row r="2">
      <c r="A2" s="3" t="inlineStr">
        <is>
          <t xml:space="preserve">Thomson Reuters</t>
        </is>
      </c>
      <c r="B2" s="3" t="inlineStr">
        <is>
          <t xml:space="preserve">Canada</t>
        </is>
      </c>
      <c r="C2" s="3" t="inlineStr">
        <is>
          <t xml:space="preserve">Seeded Aug 2026 — verify route first</t>
        </is>
      </c>
      <c r="D2" s="3" t="inlineStr">
        <is>
          <t xml:space="preserve">3A</t>
        </is>
      </c>
    </row>
    <row r="3">
      <c r="A3" s="3" t="inlineStr">
        <is>
          <t xml:space="preserve">OpenText</t>
        </is>
      </c>
      <c r="B3" s="3" t="inlineStr">
        <is>
          <t xml:space="preserve">Canada</t>
        </is>
      </c>
      <c r="C3" s="3" t="inlineStr">
        <is>
          <t xml:space="preserve">Seeded Aug 2026 — verify</t>
        </is>
      </c>
      <c r="D3" s="3" t="inlineStr">
        <is>
          <t xml:space="preserve">3A</t>
        </is>
      </c>
    </row>
    <row r="4">
      <c r="A4" s="3" t="inlineStr">
        <is>
          <t xml:space="preserve">Magnet Forensics</t>
        </is>
      </c>
      <c r="B4" s="3" t="inlineStr">
        <is>
          <t xml:space="preserve">Canada</t>
        </is>
      </c>
      <c r="C4" s="3" t="inlineStr">
        <is>
          <t xml:space="preserve">Sponsorship unverified</t>
        </is>
      </c>
      <c r="D4" s="3" t="inlineStr">
        <is>
          <t xml:space="preserve">3A</t>
        </is>
      </c>
    </row>
    <row r="5">
      <c r="A5" s="3" t="inlineStr">
        <is>
          <t xml:space="preserve">Constellation Software</t>
        </is>
      </c>
      <c r="B5" s="3" t="inlineStr">
        <is>
          <t xml:space="preserve">Canada</t>
        </is>
      </c>
      <c r="C5" s="3" t="inlineStr">
        <is>
          <t xml:space="preserve">Seeded — verify</t>
        </is>
      </c>
      <c r="D5" s="3" t="inlineStr">
        <is>
          <t xml:space="preserve">3A</t>
        </is>
      </c>
    </row>
    <row r="6">
      <c r="A6" s="3" t="inlineStr">
        <is>
          <t xml:space="preserve">Xero</t>
        </is>
      </c>
      <c r="B6" s="3" t="inlineStr">
        <is>
          <t xml:space="preserve">New Zealand</t>
        </is>
      </c>
      <c r="C6" s="3" t="inlineStr">
        <is>
          <t xml:space="preserve">Seeded — verify</t>
        </is>
      </c>
      <c r="D6" s="3" t="inlineStr">
        <is>
          <t xml:space="preserve">3B</t>
        </is>
      </c>
    </row>
    <row r="7">
      <c r="A7" s="3" t="inlineStr">
        <is>
          <t xml:space="preserve">Datacom</t>
        </is>
      </c>
      <c r="B7" s="3" t="inlineStr">
        <is>
          <t xml:space="preserve">New Zealand</t>
        </is>
      </c>
      <c r="C7" s="3" t="inlineStr">
        <is>
          <t xml:space="preserve">Seeded — verify</t>
        </is>
      </c>
      <c r="D7" s="3" t="inlineStr">
        <is>
          <t xml:space="preserve">3B</t>
        </is>
      </c>
    </row>
    <row r="8">
      <c r="A8" s="3" t="inlineStr">
        <is>
          <t xml:space="preserve">Nuix</t>
        </is>
      </c>
      <c r="B8" s="3" t="inlineStr">
        <is>
          <t xml:space="preserve">Australia</t>
        </is>
      </c>
      <c r="C8" s="3" t="inlineStr">
        <is>
          <t xml:space="preserve">Stack may be Java-leaning — verify</t>
        </is>
      </c>
      <c r="D8" s="3" t="inlineStr">
        <is>
          <t xml:space="preserve">3C</t>
        </is>
      </c>
    </row>
    <row r="9">
      <c r="A9" s="3" t="inlineStr">
        <is>
          <t xml:space="preserve">Objective Corp</t>
        </is>
      </c>
      <c r="B9" s="3" t="inlineStr">
        <is>
          <t xml:space="preserve">Australia</t>
        </is>
      </c>
      <c r="C9" s="3" t="inlineStr">
        <is>
          <t xml:space="preserve">Seeded — verify</t>
        </is>
      </c>
      <c r="D9" s="3" t="inlineStr">
        <is>
          <t xml:space="preserve">3C</t>
        </is>
      </c>
    </row>
    <row r="10">
      <c r="A10" s="3" t="inlineStr">
        <is>
          <t xml:space="preserve">WiseTech</t>
        </is>
      </c>
      <c r="B10" s="3" t="inlineStr">
        <is>
          <t xml:space="preserve">Australia</t>
        </is>
      </c>
      <c r="C10" s="3" t="inlineStr">
        <is>
          <t xml:space="preserve">Seeded — verify</t>
        </is>
      </c>
      <c r="D10" s="3" t="inlineStr">
        <is>
          <t xml:space="preserve">3C</t>
        </is>
      </c>
    </row>
    <row r="11">
      <c r="A11" s="3" t="inlineStr">
        <is>
          <t xml:space="preserve">Microsoft Dublin</t>
        </is>
      </c>
      <c r="B11" s="3" t="inlineStr">
        <is>
          <t xml:space="preserve">Ireland</t>
        </is>
      </c>
      <c r="C11" s="3" t="inlineStr">
        <is>
          <t xml:space="preserve">Ireland gated on NFQ check</t>
        </is>
      </c>
      <c r="D11" s="3" t="inlineStr">
        <is>
          <t xml:space="preserve">3E</t>
        </is>
      </c>
    </row>
    <row r="12">
      <c r="A12" s="3" t="inlineStr">
        <is>
          <t xml:space="preserve">Fidelity</t>
        </is>
      </c>
      <c r="B12" s="3" t="inlineStr">
        <is>
          <t xml:space="preserve">Ireland</t>
        </is>
      </c>
      <c r="C12" s="3" t="inlineStr">
        <is>
          <t xml:space="preserve">Ireland gated on NFQ check</t>
        </is>
      </c>
      <c r="D12" s="3" t="inlineStr">
        <is>
          <t xml:space="preserve">3E</t>
        </is>
      </c>
    </row>
    <row r="13">
      <c r="A13" s="3" t="inlineStr">
        <is>
          <t xml:space="preserve">Version 1</t>
        </is>
      </c>
      <c r="B13" s="3" t="inlineStr">
        <is>
          <t xml:space="preserve">Ireland</t>
        </is>
      </c>
      <c r="C13" s="3" t="inlineStr">
        <is>
          <t xml:space="preserve">Ireland gated on NFQ check</t>
        </is>
      </c>
      <c r="D13" s="3" t="inlineStr">
        <is>
          <t xml:space="preserve">3E</t>
        </is>
      </c>
    </row>
    <row r="14">
      <c r="A14" s="3" t="inlineStr">
        <is>
          <t xml:space="preserve">ASML</t>
        </is>
      </c>
      <c r="B14" s="3" t="inlineStr">
        <is>
          <t xml:space="preserve">Netherlands</t>
        </is>
      </c>
      <c r="C14" s="3" t="inlineStr">
        <is>
          <t xml:space="preserve">Seeded — verify</t>
        </is>
      </c>
      <c r="D14" s="3" t="inlineStr">
        <is>
          <t xml:space="preserve">3F</t>
        </is>
      </c>
    </row>
    <row r="15">
      <c r="A15" s="3" t="inlineStr">
        <is>
          <t xml:space="preserve">Visma</t>
        </is>
      </c>
      <c r="B15" s="3" t="inlineStr">
        <is>
          <t xml:space="preserve">Nordics</t>
        </is>
      </c>
      <c r="C15" s="3" t="inlineStr">
        <is>
          <t xml:space="preserve">Seeded — verify</t>
        </is>
      </c>
      <c r="D15" s="3" t="inlineStr">
        <is>
          <t xml:space="preserve">3G</t>
        </is>
      </c>
    </row>
    <row r="16">
      <c r="A16" s="3" t="inlineStr">
        <is>
          <t xml:space="preserve">EPAM</t>
        </is>
      </c>
      <c r="B16" s="3" t="inlineStr">
        <is>
          <t xml:space="preserve">Poland</t>
        </is>
      </c>
      <c r="C16" s="3" t="inlineStr">
        <is>
          <t xml:space="preserve">Seeded — verify</t>
        </is>
      </c>
      <c r="D16" s="3" t="inlineStr">
        <is>
          <t xml:space="preserve">3I</t>
        </is>
      </c>
    </row>
    <row r="17">
      <c r="A17" s="3" t="inlineStr">
        <is>
          <t xml:space="preserve">Relativity (Krakow)</t>
        </is>
      </c>
      <c r="B17" s="3" t="inlineStr">
        <is>
          <t xml:space="preserve">Poland</t>
        </is>
      </c>
      <c r="C17" s="3" t="inlineStr">
        <is>
          <t xml:space="preserve">Only company checked with live evidence (Aug 2026); apply at senior level</t>
        </is>
      </c>
      <c r="D17" s="3" t="inlineStr">
        <is>
          <t xml:space="preserve">3I/3K</t>
        </is>
      </c>
    </row>
    <row r="18">
      <c r="A18" s="3" t="inlineStr">
        <is>
          <t xml:space="preserve">Casepoint US (L-1 transfer)</t>
        </is>
      </c>
      <c r="B18" s="3" t="inlineStr">
        <is>
          <t xml:space="preserve">USA</t>
        </is>
      </c>
      <c r="C18" s="3" t="inlineStr">
        <is>
          <t xml:space="preserve">CLOSED — employer offers no overseas transfer</t>
        </is>
      </c>
      <c r="D18" s="3" t="inlineStr">
        <is>
          <t xml:space="preserve">struck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6" customWidth="1"/>
    <col min="3" max="3" width="13" customWidth="1"/>
    <col min="4" max="4" width="50" customWidth="1"/>
    <col min="5" max="5" width="36" customWidth="1"/>
    <col min="6" max="6" width="36" customWidth="1"/>
    <col min="7" max="7" width="36" customWidth="1"/>
    <col min="8" max="8" width="36" customWidth="1"/>
    <col min="9" max="9" width="13" customWidth="1"/>
  </cols>
  <sheetData>
    <row r="1">
      <c r="A1" s="1" t="inlineStr">
        <is>
          <t xml:space="preserve">Company</t>
        </is>
      </c>
      <c r="B1" s="1" t="inlineStr">
        <is>
          <t xml:space="preserve">Round</t>
        </is>
      </c>
      <c r="C1" s="1" t="inlineStr">
        <is>
          <t xml:space="preserve">Date</t>
        </is>
      </c>
      <c r="D1" s="1" t="inlineStr">
        <is>
          <t xml:space="preserve">Questions asked (verbatim)</t>
        </is>
      </c>
      <c r="E1" s="1" t="inlineStr">
        <is>
          <t xml:space="preserve">What went well</t>
        </is>
      </c>
      <c r="F1" s="1" t="inlineStr">
        <is>
          <t xml:space="preserve">What went badly (exact moment)</t>
        </is>
      </c>
      <c r="G1" s="1" t="inlineStr">
        <is>
          <t xml:space="preserve">Root cause</t>
        </is>
      </c>
      <c r="H1" s="1" t="inlineStr">
        <is>
          <t xml:space="preserve">Repair action</t>
        </is>
      </c>
      <c r="I1" s="1" t="inlineStr">
        <is>
          <t xml:space="preserve">Repair by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16" customWidth="1"/>
  </cols>
  <sheetData>
    <row r="1">
      <c r="A1" s="3" t="inlineStr">
        <is>
          <t xml:space="preserve">Measure</t>
        </is>
      </c>
      <c r="B1" s="3" t="inlineStr">
        <is>
          <t xml:space="preserve">Value</t>
        </is>
      </c>
    </row>
    <row r="2">
      <c r="A2" s="3" t="inlineStr">
        <is>
          <t xml:space="preserve">Days done (of 224)</t>
        </is>
      </c>
      <c r="B2" s="3">
        <f>COUNTIF(DAILY!J2:J225,"Done")</f>
      </c>
    </row>
    <row r="3">
      <c r="A3" s="3" t="inlineStr">
        <is>
          <t xml:space="preserve">Share of days done</t>
        </is>
      </c>
      <c r="B3" s="3">
        <f>COUNTIF(DAILY!J2:J225,"Done")/224</f>
      </c>
    </row>
    <row r="4">
      <c r="A4" s="3" t="inlineStr">
        <is>
          <t xml:space="preserve">Problems solved independently</t>
        </is>
      </c>
      <c r="B4" s="3">
        <f>COUNTIF(DSA_LOG!E2:E2000,"Independent")</f>
      </c>
    </row>
    <row r="5">
      <c r="A5" s="3" t="inlineStr">
        <is>
          <t xml:space="preserve">Problems with a hint</t>
        </is>
      </c>
      <c r="B5" s="3">
        <f>COUNTIF(DSA_LOG!E2:E2000,"Hint")</f>
      </c>
    </row>
    <row r="6">
      <c r="A6" s="3" t="inlineStr">
        <is>
          <t xml:space="preserve">Problems failed / solution read</t>
        </is>
      </c>
      <c r="B6" s="3">
        <f>COUNTIF(DSA_LOG!E2:E2000,"Failed")+COUNTIF(DSA_LOG!E2:E2000,"Solution read")</f>
      </c>
    </row>
    <row r="7">
      <c r="A7" s="3" t="inlineStr">
        <is>
          <t xml:space="preserve">Concepts passing their last review</t>
        </is>
      </c>
      <c r="B7" s="3">
        <f>COUNTIF(REVIEW!I2:I400,"Pass")</f>
      </c>
    </row>
    <row r="8">
      <c r="A8" s="3" t="inlineStr">
        <is>
          <t xml:space="preserve">Weak items still open</t>
        </is>
      </c>
      <c r="B8" s="3">
        <f>COUNTA(WEAK!A2:A1000)-COUNTA(WEAK!F2:F1000)</f>
      </c>
    </row>
    <row r="9">
      <c r="A9" s="3" t="inlineStr">
        <is>
          <t xml:space="preserve">Designs done</t>
        </is>
      </c>
      <c r="B9" s="3">
        <f>COUNTA(DESIGNS!E2:E200)</f>
      </c>
    </row>
    <row r="10">
      <c r="A10" s="3" t="inlineStr">
        <is>
          <t xml:space="preserve">Stories recorded</t>
        </is>
      </c>
      <c r="B10" s="3">
        <f>COUNTIF(STORIES!D2:D60,"Yes")</f>
      </c>
    </row>
    <row r="11">
      <c r="A11" s="3" t="inlineStr">
        <is>
          <t xml:space="preserve">Journal lines</t>
        </is>
      </c>
      <c r="B11" s="3">
        <f>COUNTA(JOURNAL!A2:A2000)</f>
      </c>
    </row>
    <row r="12">
      <c r="A12" s="3" t="inlineStr">
        <is>
          <t xml:space="preserve">Project milestones done</t>
        </is>
      </c>
      <c r="B12" s="3">
        <f>COUNTIF(PROJECT!E2:E20,"Done")</f>
      </c>
    </row>
    <row r="13">
      <c r="A13" s="3" t="inlineStr">
        <is>
          <t xml:space="preserve">Applications sent</t>
        </is>
      </c>
      <c r="B13" s="3">
        <f>COUNTA(APPLY!G2:G500)</f>
      </c>
    </row>
    <row r="14">
      <c r="A14" s="3" t="inlineStr">
        <is>
          <t xml:space="preserve">Interviews analysed</t>
        </is>
      </c>
      <c r="B14" s="3">
        <f>COUNTA(INTERVIEWS!A2:A500)</f>
      </c>
    </row>
  </sheetData>
</worksheet>
</file>